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odiacii-my.sharepoint.com/personal/rafael_desantis_zii_aero/Documents/Desktop/DYNAMICSREPORTS/Capacity Report/"/>
    </mc:Choice>
  </mc:AlternateContent>
  <xr:revisionPtr revIDLastSave="93" documentId="13_ncr:1_{C9A00C53-10B6-427E-9043-59A104A3B992}" xr6:coauthVersionLast="47" xr6:coauthVersionMax="47" xr10:uidLastSave="{575C1A0F-85CD-4E74-87E1-C762CB84D0FB}"/>
  <bookViews>
    <workbookView xWindow="28680" yWindow="-120" windowWidth="29040" windowHeight="15840" xr2:uid="{3256870E-46A9-4BFE-832F-99C2DC263DFB}"/>
  </bookViews>
  <sheets>
    <sheet name="Sheet2" sheetId="4" r:id="rId1"/>
    <sheet name="Sheet2 (2)" sheetId="5" r:id="rId2"/>
    <sheet name="Sheet1" sheetId="1" r:id="rId3"/>
    <sheet name="Sheet1 (3)" sheetId="3" r:id="rId4"/>
    <sheet name="Sheet1 (2)" sheetId="2" r:id="rId5"/>
    <sheet name="Sheet2 (3)" sheetId="6" r:id="rId6"/>
    <sheet name="Sheet2 (4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7" l="1"/>
  <c r="I20" i="7"/>
  <c r="H20" i="7"/>
  <c r="T19" i="7"/>
  <c r="I19" i="7"/>
  <c r="H19" i="7"/>
  <c r="T18" i="7"/>
  <c r="I18" i="7"/>
  <c r="H18" i="7"/>
  <c r="T17" i="7"/>
  <c r="I17" i="7"/>
  <c r="U17" i="7" s="1"/>
  <c r="H17" i="7"/>
  <c r="T16" i="7"/>
  <c r="I16" i="7"/>
  <c r="J16" i="7" s="1"/>
  <c r="K16" i="7" s="1"/>
  <c r="L16" i="7" s="1"/>
  <c r="M16" i="7" s="1"/>
  <c r="H16" i="7"/>
  <c r="T15" i="7"/>
  <c r="I15" i="7"/>
  <c r="U15" i="7" s="1"/>
  <c r="H15" i="7"/>
  <c r="T14" i="7"/>
  <c r="I14" i="7"/>
  <c r="U14" i="7" s="1"/>
  <c r="H14" i="7"/>
  <c r="T13" i="7"/>
  <c r="I13" i="7"/>
  <c r="J13" i="7" s="1"/>
  <c r="K13" i="7" s="1"/>
  <c r="L13" i="7" s="1"/>
  <c r="M13" i="7" s="1"/>
  <c r="H13" i="7"/>
  <c r="T12" i="7"/>
  <c r="I12" i="7"/>
  <c r="J12" i="7" s="1"/>
  <c r="K12" i="7" s="1"/>
  <c r="H12" i="7"/>
  <c r="T11" i="7"/>
  <c r="I11" i="7"/>
  <c r="U11" i="7" s="1"/>
  <c r="H11" i="7"/>
  <c r="T10" i="7"/>
  <c r="I10" i="7"/>
  <c r="J10" i="7" s="1"/>
  <c r="K10" i="7" s="1"/>
  <c r="L10" i="7" s="1"/>
  <c r="M10" i="7" s="1"/>
  <c r="H10" i="7"/>
  <c r="T9" i="7"/>
  <c r="I9" i="7"/>
  <c r="J9" i="7" s="1"/>
  <c r="K9" i="7" s="1"/>
  <c r="H9" i="7"/>
  <c r="T8" i="7"/>
  <c r="I8" i="7"/>
  <c r="U8" i="7" s="1"/>
  <c r="H8" i="7"/>
  <c r="T7" i="7"/>
  <c r="I7" i="7"/>
  <c r="U7" i="7" s="1"/>
  <c r="H7" i="7"/>
  <c r="T6" i="7"/>
  <c r="I6" i="7"/>
  <c r="J6" i="7" s="1"/>
  <c r="K6" i="7" s="1"/>
  <c r="H6" i="7"/>
  <c r="W5" i="7"/>
  <c r="W6" i="7" s="1"/>
  <c r="U5" i="7"/>
  <c r="T5" i="7"/>
  <c r="I5" i="7"/>
  <c r="H5" i="7"/>
  <c r="W4" i="7"/>
  <c r="V4" i="7"/>
  <c r="E4" i="7"/>
  <c r="F4" i="7" s="1"/>
  <c r="D4" i="7"/>
  <c r="C4" i="7"/>
  <c r="D5" i="7" s="1"/>
  <c r="T20" i="6"/>
  <c r="I20" i="6"/>
  <c r="U20" i="6" s="1"/>
  <c r="H20" i="6"/>
  <c r="T19" i="6"/>
  <c r="I19" i="6"/>
  <c r="U19" i="6" s="1"/>
  <c r="H19" i="6"/>
  <c r="T18" i="6"/>
  <c r="I18" i="6"/>
  <c r="H18" i="6"/>
  <c r="T17" i="6"/>
  <c r="I17" i="6"/>
  <c r="U17" i="6" s="1"/>
  <c r="H17" i="6"/>
  <c r="T16" i="6"/>
  <c r="I16" i="6"/>
  <c r="H16" i="6"/>
  <c r="T15" i="6"/>
  <c r="I15" i="6"/>
  <c r="H15" i="6"/>
  <c r="T14" i="6"/>
  <c r="I14" i="6"/>
  <c r="U14" i="6" s="1"/>
  <c r="H14" i="6"/>
  <c r="T13" i="6"/>
  <c r="I13" i="6"/>
  <c r="H13" i="6"/>
  <c r="T12" i="6"/>
  <c r="I12" i="6"/>
  <c r="H12" i="6"/>
  <c r="T11" i="6"/>
  <c r="I11" i="6"/>
  <c r="U11" i="6" s="1"/>
  <c r="H11" i="6"/>
  <c r="T10" i="6"/>
  <c r="I10" i="6"/>
  <c r="U10" i="6" s="1"/>
  <c r="H10" i="6"/>
  <c r="T9" i="6"/>
  <c r="I9" i="6"/>
  <c r="U9" i="6" s="1"/>
  <c r="H9" i="6"/>
  <c r="T8" i="6"/>
  <c r="I8" i="6"/>
  <c r="H8" i="6"/>
  <c r="T7" i="6"/>
  <c r="I7" i="6"/>
  <c r="U7" i="6" s="1"/>
  <c r="H7" i="6"/>
  <c r="T6" i="6"/>
  <c r="I6" i="6"/>
  <c r="J6" i="6" s="1"/>
  <c r="K6" i="6" s="1"/>
  <c r="L6" i="6" s="1"/>
  <c r="M6" i="6" s="1"/>
  <c r="H6" i="6"/>
  <c r="D6" i="6"/>
  <c r="D7" i="6" s="1"/>
  <c r="T5" i="6"/>
  <c r="I5" i="6"/>
  <c r="H5" i="6"/>
  <c r="D5" i="6"/>
  <c r="E5" i="6" s="1"/>
  <c r="F5" i="6" s="1"/>
  <c r="G5" i="6" s="1"/>
  <c r="C5" i="6"/>
  <c r="N5" i="6" s="1"/>
  <c r="W4" i="6"/>
  <c r="V4" i="6"/>
  <c r="W5" i="6" s="1"/>
  <c r="E4" i="6"/>
  <c r="F4" i="6" s="1"/>
  <c r="D4" i="6"/>
  <c r="C4" i="6"/>
  <c r="U16" i="7" l="1"/>
  <c r="U6" i="7"/>
  <c r="J11" i="7"/>
  <c r="K11" i="7" s="1"/>
  <c r="L11" i="7" s="1"/>
  <c r="M11" i="7" s="1"/>
  <c r="D6" i="7"/>
  <c r="C5" i="7"/>
  <c r="N5" i="7" s="1"/>
  <c r="O5" i="7" s="1"/>
  <c r="E5" i="7"/>
  <c r="F5" i="7" s="1"/>
  <c r="G5" i="7" s="1"/>
  <c r="L12" i="7"/>
  <c r="M12" i="7" s="1"/>
  <c r="W7" i="7"/>
  <c r="V6" i="7"/>
  <c r="V5" i="7"/>
  <c r="J7" i="7"/>
  <c r="K7" i="7" s="1"/>
  <c r="L7" i="7" s="1"/>
  <c r="M7" i="7" s="1"/>
  <c r="U18" i="7"/>
  <c r="X8" i="7"/>
  <c r="Y8" i="7" s="1"/>
  <c r="J20" i="7"/>
  <c r="K20" i="7" s="1"/>
  <c r="L20" i="7" s="1"/>
  <c r="M20" i="7" s="1"/>
  <c r="X5" i="7"/>
  <c r="Y5" i="7" s="1"/>
  <c r="U12" i="7"/>
  <c r="J17" i="7"/>
  <c r="K17" i="7" s="1"/>
  <c r="L17" i="7" s="1"/>
  <c r="M17" i="7" s="1"/>
  <c r="U9" i="7"/>
  <c r="J14" i="7"/>
  <c r="K14" i="7" s="1"/>
  <c r="L14" i="7" s="1"/>
  <c r="M14" i="7" s="1"/>
  <c r="J8" i="7"/>
  <c r="K8" i="7" s="1"/>
  <c r="L8" i="7" s="1"/>
  <c r="M8" i="7" s="1"/>
  <c r="U19" i="7"/>
  <c r="X6" i="7"/>
  <c r="Y6" i="7" s="1"/>
  <c r="U13" i="7"/>
  <c r="J18" i="7"/>
  <c r="K18" i="7" s="1"/>
  <c r="L18" i="7" s="1"/>
  <c r="M18" i="7" s="1"/>
  <c r="U10" i="7"/>
  <c r="J15" i="7"/>
  <c r="K15" i="7" s="1"/>
  <c r="L15" i="7" s="1"/>
  <c r="M15" i="7" s="1"/>
  <c r="J5" i="7"/>
  <c r="U20" i="7"/>
  <c r="L9" i="7"/>
  <c r="M9" i="7" s="1"/>
  <c r="J19" i="7"/>
  <c r="K19" i="7" s="1"/>
  <c r="L19" i="7" s="1"/>
  <c r="M19" i="7" s="1"/>
  <c r="L6" i="7"/>
  <c r="M6" i="7" s="1"/>
  <c r="X7" i="7"/>
  <c r="Y7" i="7" s="1"/>
  <c r="J13" i="6"/>
  <c r="K13" i="6" s="1"/>
  <c r="L13" i="6" s="1"/>
  <c r="M13" i="6" s="1"/>
  <c r="J16" i="6"/>
  <c r="K16" i="6" s="1"/>
  <c r="L16" i="6" s="1"/>
  <c r="M16" i="6" s="1"/>
  <c r="J8" i="6"/>
  <c r="K8" i="6" s="1"/>
  <c r="J17" i="6"/>
  <c r="K17" i="6" s="1"/>
  <c r="L17" i="6" s="1"/>
  <c r="M17" i="6" s="1"/>
  <c r="J14" i="6"/>
  <c r="K14" i="6" s="1"/>
  <c r="L14" i="6" s="1"/>
  <c r="M14" i="6" s="1"/>
  <c r="U16" i="6"/>
  <c r="L8" i="6"/>
  <c r="M8" i="6" s="1"/>
  <c r="O5" i="6"/>
  <c r="U8" i="6"/>
  <c r="W6" i="6"/>
  <c r="V5" i="6"/>
  <c r="E7" i="6"/>
  <c r="F7" i="6" s="1"/>
  <c r="C7" i="6"/>
  <c r="N7" i="6" s="1"/>
  <c r="O7" i="6" s="1"/>
  <c r="D8" i="6"/>
  <c r="J7" i="6"/>
  <c r="K7" i="6" s="1"/>
  <c r="L7" i="6" s="1"/>
  <c r="M7" i="6" s="1"/>
  <c r="U18" i="6"/>
  <c r="J10" i="6"/>
  <c r="K10" i="6" s="1"/>
  <c r="L10" i="6" s="1"/>
  <c r="M10" i="6" s="1"/>
  <c r="U15" i="6"/>
  <c r="J20" i="6"/>
  <c r="K20" i="6" s="1"/>
  <c r="L20" i="6" s="1"/>
  <c r="M20" i="6" s="1"/>
  <c r="U5" i="6"/>
  <c r="U12" i="6"/>
  <c r="C6" i="6"/>
  <c r="N6" i="6" s="1"/>
  <c r="O6" i="6" s="1"/>
  <c r="U6" i="6"/>
  <c r="J11" i="6"/>
  <c r="K11" i="6" s="1"/>
  <c r="L11" i="6" s="1"/>
  <c r="M11" i="6" s="1"/>
  <c r="E6" i="6"/>
  <c r="F6" i="6" s="1"/>
  <c r="G6" i="6" s="1"/>
  <c r="J18" i="6"/>
  <c r="K18" i="6" s="1"/>
  <c r="L18" i="6" s="1"/>
  <c r="M18" i="6" s="1"/>
  <c r="J15" i="6"/>
  <c r="K15" i="6" s="1"/>
  <c r="L15" i="6" s="1"/>
  <c r="M15" i="6" s="1"/>
  <c r="J12" i="6"/>
  <c r="K12" i="6" s="1"/>
  <c r="L12" i="6" s="1"/>
  <c r="M12" i="6" s="1"/>
  <c r="J9" i="6"/>
  <c r="K9" i="6" s="1"/>
  <c r="L9" i="6" s="1"/>
  <c r="M9" i="6" s="1"/>
  <c r="J5" i="6"/>
  <c r="U13" i="6"/>
  <c r="J19" i="6"/>
  <c r="K19" i="6" s="1"/>
  <c r="L19" i="6" s="1"/>
  <c r="M19" i="6" s="1"/>
  <c r="X19" i="7" l="1"/>
  <c r="Y19" i="7" s="1"/>
  <c r="X15" i="7"/>
  <c r="Y15" i="7" s="1"/>
  <c r="X13" i="7"/>
  <c r="Y13" i="7" s="1"/>
  <c r="X11" i="7"/>
  <c r="Y11" i="7" s="1"/>
  <c r="X17" i="7"/>
  <c r="Y17" i="7" s="1"/>
  <c r="X10" i="7"/>
  <c r="Y10" i="7" s="1"/>
  <c r="X20" i="7"/>
  <c r="Y20" i="7" s="1"/>
  <c r="X12" i="7"/>
  <c r="Y12" i="7" s="1"/>
  <c r="X9" i="7"/>
  <c r="Y9" i="7" s="1"/>
  <c r="X14" i="7"/>
  <c r="Y14" i="7" s="1"/>
  <c r="P15" i="7"/>
  <c r="Q15" i="7" s="1"/>
  <c r="P5" i="7"/>
  <c r="Q5" i="7" s="1"/>
  <c r="P8" i="7"/>
  <c r="Q8" i="7" s="1"/>
  <c r="P11" i="7"/>
  <c r="Q11" i="7" s="1"/>
  <c r="P14" i="7"/>
  <c r="Q14" i="7" s="1"/>
  <c r="P18" i="7"/>
  <c r="Q18" i="7" s="1"/>
  <c r="P7" i="7"/>
  <c r="Q7" i="7" s="1"/>
  <c r="K5" i="7"/>
  <c r="L5" i="7" s="1"/>
  <c r="M5" i="7" s="1"/>
  <c r="P13" i="7"/>
  <c r="Q13" i="7" s="1"/>
  <c r="P17" i="7"/>
  <c r="Q17" i="7" s="1"/>
  <c r="P20" i="7"/>
  <c r="Q20" i="7" s="1"/>
  <c r="P10" i="7"/>
  <c r="Q10" i="7" s="1"/>
  <c r="P12" i="7"/>
  <c r="Q12" i="7" s="1"/>
  <c r="P16" i="7"/>
  <c r="Q16" i="7" s="1"/>
  <c r="P19" i="7"/>
  <c r="Q19" i="7" s="1"/>
  <c r="P6" i="7"/>
  <c r="Q6" i="7" s="1"/>
  <c r="P9" i="7"/>
  <c r="Q9" i="7" s="1"/>
  <c r="X18" i="7"/>
  <c r="Y18" i="7" s="1"/>
  <c r="D7" i="7"/>
  <c r="C6" i="7"/>
  <c r="N6" i="7" s="1"/>
  <c r="O6" i="7" s="1"/>
  <c r="E6" i="7"/>
  <c r="F6" i="7" s="1"/>
  <c r="G6" i="7" s="1"/>
  <c r="X16" i="7"/>
  <c r="Y16" i="7" s="1"/>
  <c r="V7" i="7"/>
  <c r="W8" i="7"/>
  <c r="X17" i="6"/>
  <c r="Y17" i="6" s="1"/>
  <c r="X20" i="6"/>
  <c r="Y20" i="6" s="1"/>
  <c r="X7" i="6"/>
  <c r="Y7" i="6" s="1"/>
  <c r="X10" i="6"/>
  <c r="Y10" i="6" s="1"/>
  <c r="X13" i="6"/>
  <c r="Y13" i="6" s="1"/>
  <c r="X16" i="6"/>
  <c r="Y16" i="6" s="1"/>
  <c r="X6" i="6"/>
  <c r="Y6" i="6" s="1"/>
  <c r="X9" i="6"/>
  <c r="Y9" i="6" s="1"/>
  <c r="X12" i="6"/>
  <c r="Y12" i="6" s="1"/>
  <c r="X19" i="6"/>
  <c r="Y19" i="6" s="1"/>
  <c r="X15" i="6"/>
  <c r="Y15" i="6" s="1"/>
  <c r="X18" i="6"/>
  <c r="Y18" i="6" s="1"/>
  <c r="X5" i="6"/>
  <c r="Y5" i="6" s="1"/>
  <c r="X8" i="6"/>
  <c r="Y8" i="6" s="1"/>
  <c r="X11" i="6"/>
  <c r="Y11" i="6" s="1"/>
  <c r="X14" i="6"/>
  <c r="Y14" i="6" s="1"/>
  <c r="P15" i="6"/>
  <c r="Q15" i="6" s="1"/>
  <c r="P18" i="6"/>
  <c r="Q18" i="6" s="1"/>
  <c r="P5" i="6"/>
  <c r="Q5" i="6" s="1"/>
  <c r="P8" i="6"/>
  <c r="Q8" i="6" s="1"/>
  <c r="P7" i="6"/>
  <c r="Q7" i="6" s="1"/>
  <c r="P10" i="6"/>
  <c r="Q10" i="6" s="1"/>
  <c r="P11" i="6"/>
  <c r="Q11" i="6" s="1"/>
  <c r="P14" i="6"/>
  <c r="Q14" i="6" s="1"/>
  <c r="K5" i="6"/>
  <c r="L5" i="6" s="1"/>
  <c r="M5" i="6" s="1"/>
  <c r="P17" i="6"/>
  <c r="Q17" i="6" s="1"/>
  <c r="P20" i="6"/>
  <c r="Q20" i="6" s="1"/>
  <c r="P13" i="6"/>
  <c r="Q13" i="6" s="1"/>
  <c r="P16" i="6"/>
  <c r="Q16" i="6" s="1"/>
  <c r="P19" i="6"/>
  <c r="Q19" i="6" s="1"/>
  <c r="P12" i="6"/>
  <c r="Q12" i="6" s="1"/>
  <c r="P6" i="6"/>
  <c r="Q6" i="6" s="1"/>
  <c r="P9" i="6"/>
  <c r="Q9" i="6" s="1"/>
  <c r="W7" i="6"/>
  <c r="V6" i="6"/>
  <c r="D9" i="6"/>
  <c r="C8" i="6"/>
  <c r="N8" i="6" s="1"/>
  <c r="O8" i="6" s="1"/>
  <c r="E8" i="6"/>
  <c r="F8" i="6" s="1"/>
  <c r="G8" i="6" s="1"/>
  <c r="G7" i="6"/>
  <c r="W9" i="7" l="1"/>
  <c r="V8" i="7"/>
  <c r="E7" i="7"/>
  <c r="F7" i="7" s="1"/>
  <c r="G7" i="7" s="1"/>
  <c r="C7" i="7"/>
  <c r="N7" i="7" s="1"/>
  <c r="O7" i="7" s="1"/>
  <c r="D8" i="7"/>
  <c r="D10" i="6"/>
  <c r="E9" i="6"/>
  <c r="F9" i="6" s="1"/>
  <c r="G9" i="6" s="1"/>
  <c r="C9" i="6"/>
  <c r="N9" i="6" s="1"/>
  <c r="O9" i="6" s="1"/>
  <c r="V7" i="6"/>
  <c r="W8" i="6"/>
  <c r="C8" i="7" l="1"/>
  <c r="N8" i="7" s="1"/>
  <c r="O8" i="7" s="1"/>
  <c r="D9" i="7"/>
  <c r="E8" i="7"/>
  <c r="F8" i="7" s="1"/>
  <c r="G8" i="7" s="1"/>
  <c r="W10" i="7"/>
  <c r="V9" i="7"/>
  <c r="W9" i="6"/>
  <c r="V8" i="6"/>
  <c r="D11" i="6"/>
  <c r="E10" i="6"/>
  <c r="F10" i="6" s="1"/>
  <c r="G10" i="6" s="1"/>
  <c r="C10" i="6"/>
  <c r="N10" i="6" s="1"/>
  <c r="O10" i="6" s="1"/>
  <c r="V10" i="7" l="1"/>
  <c r="W11" i="7"/>
  <c r="D10" i="7"/>
  <c r="E9" i="7"/>
  <c r="F9" i="7" s="1"/>
  <c r="G9" i="7" s="1"/>
  <c r="C9" i="7"/>
  <c r="N9" i="7" s="1"/>
  <c r="O9" i="7" s="1"/>
  <c r="C11" i="6"/>
  <c r="N11" i="6" s="1"/>
  <c r="O11" i="6" s="1"/>
  <c r="D12" i="6"/>
  <c r="E11" i="6"/>
  <c r="F11" i="6" s="1"/>
  <c r="G11" i="6" s="1"/>
  <c r="W10" i="6"/>
  <c r="V9" i="6"/>
  <c r="D11" i="7" l="1"/>
  <c r="E10" i="7"/>
  <c r="F10" i="7" s="1"/>
  <c r="G10" i="7" s="1"/>
  <c r="C10" i="7"/>
  <c r="N10" i="7" s="1"/>
  <c r="O10" i="7" s="1"/>
  <c r="V11" i="7"/>
  <c r="W12" i="7"/>
  <c r="V10" i="6"/>
  <c r="W11" i="6"/>
  <c r="D13" i="6"/>
  <c r="E12" i="6"/>
  <c r="F12" i="6" s="1"/>
  <c r="G12" i="6" s="1"/>
  <c r="C12" i="6"/>
  <c r="N12" i="6" s="1"/>
  <c r="O12" i="6" s="1"/>
  <c r="C11" i="7" l="1"/>
  <c r="N11" i="7" s="1"/>
  <c r="O11" i="7" s="1"/>
  <c r="E11" i="7"/>
  <c r="F11" i="7" s="1"/>
  <c r="G11" i="7" s="1"/>
  <c r="D12" i="7"/>
  <c r="W13" i="7"/>
  <c r="V12" i="7"/>
  <c r="D14" i="6"/>
  <c r="C13" i="6"/>
  <c r="N13" i="6" s="1"/>
  <c r="O13" i="6" s="1"/>
  <c r="E13" i="6"/>
  <c r="F13" i="6" s="1"/>
  <c r="G13" i="6" s="1"/>
  <c r="V11" i="6"/>
  <c r="W12" i="6"/>
  <c r="W14" i="7" l="1"/>
  <c r="V13" i="7"/>
  <c r="D13" i="7"/>
  <c r="E12" i="7"/>
  <c r="F12" i="7" s="1"/>
  <c r="G12" i="7" s="1"/>
  <c r="C12" i="7"/>
  <c r="N12" i="7" s="1"/>
  <c r="O12" i="7" s="1"/>
  <c r="E14" i="6"/>
  <c r="F14" i="6" s="1"/>
  <c r="G14" i="6" s="1"/>
  <c r="C14" i="6"/>
  <c r="N14" i="6" s="1"/>
  <c r="O14" i="6" s="1"/>
  <c r="D15" i="6"/>
  <c r="W13" i="6"/>
  <c r="V12" i="6"/>
  <c r="D14" i="7" l="1"/>
  <c r="E13" i="7"/>
  <c r="F13" i="7" s="1"/>
  <c r="G13" i="7" s="1"/>
  <c r="C13" i="7"/>
  <c r="N13" i="7" s="1"/>
  <c r="O13" i="7" s="1"/>
  <c r="V14" i="7"/>
  <c r="W15" i="7"/>
  <c r="D16" i="6"/>
  <c r="E15" i="6"/>
  <c r="F15" i="6" s="1"/>
  <c r="G15" i="6" s="1"/>
  <c r="C15" i="6"/>
  <c r="N15" i="6" s="1"/>
  <c r="O15" i="6" s="1"/>
  <c r="W14" i="6"/>
  <c r="V13" i="6"/>
  <c r="E14" i="7" l="1"/>
  <c r="F14" i="7" s="1"/>
  <c r="G14" i="7" s="1"/>
  <c r="C14" i="7"/>
  <c r="N14" i="7" s="1"/>
  <c r="O14" i="7" s="1"/>
  <c r="D15" i="7"/>
  <c r="W16" i="7"/>
  <c r="V15" i="7"/>
  <c r="V14" i="6"/>
  <c r="W15" i="6"/>
  <c r="D17" i="6"/>
  <c r="C16" i="6"/>
  <c r="N16" i="6" s="1"/>
  <c r="O16" i="6" s="1"/>
  <c r="E16" i="6"/>
  <c r="F16" i="6" s="1"/>
  <c r="G16" i="6" s="1"/>
  <c r="W17" i="7" l="1"/>
  <c r="V16" i="7"/>
  <c r="D16" i="7"/>
  <c r="E15" i="7"/>
  <c r="F15" i="7" s="1"/>
  <c r="G15" i="7" s="1"/>
  <c r="C15" i="7"/>
  <c r="N15" i="7" s="1"/>
  <c r="O15" i="7" s="1"/>
  <c r="E17" i="6"/>
  <c r="F17" i="6" s="1"/>
  <c r="G17" i="6" s="1"/>
  <c r="C17" i="6"/>
  <c r="N17" i="6" s="1"/>
  <c r="O17" i="6" s="1"/>
  <c r="D18" i="6"/>
  <c r="W16" i="6"/>
  <c r="V15" i="6"/>
  <c r="D17" i="7" l="1"/>
  <c r="E16" i="7"/>
  <c r="F16" i="7" s="1"/>
  <c r="G16" i="7" s="1"/>
  <c r="C16" i="7"/>
  <c r="N16" i="7" s="1"/>
  <c r="O16" i="7" s="1"/>
  <c r="V17" i="7"/>
  <c r="W18" i="7"/>
  <c r="W17" i="6"/>
  <c r="V16" i="6"/>
  <c r="D19" i="6"/>
  <c r="E18" i="6"/>
  <c r="F18" i="6" s="1"/>
  <c r="G18" i="6" s="1"/>
  <c r="C18" i="6"/>
  <c r="N18" i="6" s="1"/>
  <c r="O18" i="6" s="1"/>
  <c r="W19" i="7" l="1"/>
  <c r="V18" i="7"/>
  <c r="E17" i="7"/>
  <c r="F17" i="7" s="1"/>
  <c r="G17" i="7" s="1"/>
  <c r="C17" i="7"/>
  <c r="N17" i="7" s="1"/>
  <c r="O17" i="7" s="1"/>
  <c r="D18" i="7"/>
  <c r="D20" i="6"/>
  <c r="C19" i="6"/>
  <c r="N19" i="6" s="1"/>
  <c r="O19" i="6" s="1"/>
  <c r="E19" i="6"/>
  <c r="F19" i="6" s="1"/>
  <c r="G19" i="6" s="1"/>
  <c r="V17" i="6"/>
  <c r="W18" i="6"/>
  <c r="D19" i="7" l="1"/>
  <c r="E18" i="7"/>
  <c r="F18" i="7" s="1"/>
  <c r="G18" i="7" s="1"/>
  <c r="C18" i="7"/>
  <c r="N18" i="7" s="1"/>
  <c r="O18" i="7" s="1"/>
  <c r="W20" i="7"/>
  <c r="V20" i="7" s="1"/>
  <c r="V19" i="7"/>
  <c r="W19" i="6"/>
  <c r="V18" i="6"/>
  <c r="E20" i="6"/>
  <c r="F20" i="6" s="1"/>
  <c r="G20" i="6" s="1"/>
  <c r="C20" i="6"/>
  <c r="N20" i="6" s="1"/>
  <c r="O20" i="6" s="1"/>
  <c r="D20" i="7" l="1"/>
  <c r="E19" i="7"/>
  <c r="F19" i="7" s="1"/>
  <c r="G19" i="7" s="1"/>
  <c r="C19" i="7"/>
  <c r="N19" i="7" s="1"/>
  <c r="O19" i="7" s="1"/>
  <c r="W20" i="6"/>
  <c r="V20" i="6" s="1"/>
  <c r="V19" i="6"/>
  <c r="C20" i="7" l="1"/>
  <c r="N20" i="7" s="1"/>
  <c r="O20" i="7" s="1"/>
  <c r="E20" i="7"/>
  <c r="F20" i="7" s="1"/>
  <c r="G20" i="7" s="1"/>
  <c r="P5" i="4" l="1"/>
  <c r="K9" i="1"/>
  <c r="L9" i="1" s="1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5" i="4"/>
  <c r="W7" i="4"/>
  <c r="W8" i="4"/>
  <c r="W9" i="4"/>
  <c r="W10" i="4"/>
  <c r="W11" i="4"/>
  <c r="W12" i="4"/>
  <c r="W13" i="4"/>
  <c r="W14" i="4"/>
  <c r="W15" i="4" s="1"/>
  <c r="W16" i="4" s="1"/>
  <c r="W17" i="4" s="1"/>
  <c r="W18" i="4" s="1"/>
  <c r="W19" i="4" s="1"/>
  <c r="W20" i="4" s="1"/>
  <c r="W6" i="4"/>
  <c r="W5" i="4"/>
  <c r="W4" i="4"/>
  <c r="V4" i="4"/>
  <c r="T15" i="4"/>
  <c r="T16" i="4"/>
  <c r="T17" i="4"/>
  <c r="T18" i="4"/>
  <c r="T19" i="4"/>
  <c r="T20" i="4"/>
  <c r="T6" i="4"/>
  <c r="T7" i="4"/>
  <c r="T8" i="4"/>
  <c r="T9" i="4"/>
  <c r="T10" i="4"/>
  <c r="T11" i="4"/>
  <c r="T12" i="4"/>
  <c r="T13" i="4"/>
  <c r="T14" i="4"/>
  <c r="T5" i="4"/>
  <c r="L9" i="5"/>
  <c r="I25" i="5"/>
  <c r="J25" i="5" s="1"/>
  <c r="M25" i="5" s="1"/>
  <c r="N25" i="5" s="1"/>
  <c r="O25" i="5" s="1"/>
  <c r="I24" i="5"/>
  <c r="I23" i="5"/>
  <c r="I22" i="5"/>
  <c r="I21" i="5"/>
  <c r="I20" i="5"/>
  <c r="I19" i="5"/>
  <c r="I18" i="5"/>
  <c r="I17" i="5"/>
  <c r="J17" i="5" s="1"/>
  <c r="M17" i="5" s="1"/>
  <c r="N17" i="5" s="1"/>
  <c r="O17" i="5" s="1"/>
  <c r="I16" i="5"/>
  <c r="I15" i="5"/>
  <c r="I14" i="5"/>
  <c r="I13" i="5"/>
  <c r="I12" i="5"/>
  <c r="I11" i="5"/>
  <c r="I10" i="5"/>
  <c r="I9" i="5"/>
  <c r="J9" i="5" s="1"/>
  <c r="I8" i="5"/>
  <c r="I7" i="5"/>
  <c r="I6" i="5"/>
  <c r="I5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J13" i="5" s="1"/>
  <c r="M13" i="5" s="1"/>
  <c r="H12" i="5"/>
  <c r="H11" i="5"/>
  <c r="H10" i="5"/>
  <c r="H9" i="5"/>
  <c r="H8" i="5"/>
  <c r="H7" i="5"/>
  <c r="H6" i="5"/>
  <c r="H5" i="5"/>
  <c r="J5" i="5"/>
  <c r="M5" i="5" s="1"/>
  <c r="N5" i="5" s="1"/>
  <c r="O5" i="5" s="1"/>
  <c r="E4" i="5"/>
  <c r="F4" i="5" s="1"/>
  <c r="D4" i="5"/>
  <c r="D5" i="5" s="1"/>
  <c r="C4" i="5"/>
  <c r="C5" i="5" s="1"/>
  <c r="L6" i="1"/>
  <c r="L7" i="1"/>
  <c r="L8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5" i="1"/>
  <c r="D4" i="1"/>
  <c r="D5" i="1" s="1"/>
  <c r="I20" i="4"/>
  <c r="H20" i="4"/>
  <c r="I19" i="4"/>
  <c r="U19" i="4" s="1"/>
  <c r="H19" i="4"/>
  <c r="I18" i="4"/>
  <c r="H18" i="4"/>
  <c r="I17" i="4"/>
  <c r="U17" i="4" s="1"/>
  <c r="H17" i="4"/>
  <c r="I16" i="4"/>
  <c r="H16" i="4"/>
  <c r="I15" i="4"/>
  <c r="H15" i="4"/>
  <c r="I14" i="4"/>
  <c r="H14" i="4"/>
  <c r="I13" i="4"/>
  <c r="J13" i="4" s="1"/>
  <c r="K13" i="4" s="1"/>
  <c r="L13" i="4" s="1"/>
  <c r="M13" i="4" s="1"/>
  <c r="H13" i="4"/>
  <c r="I12" i="4"/>
  <c r="H12" i="4"/>
  <c r="I11" i="4"/>
  <c r="J11" i="4" s="1"/>
  <c r="K11" i="4" s="1"/>
  <c r="L11" i="4" s="1"/>
  <c r="M11" i="4" s="1"/>
  <c r="H11" i="4"/>
  <c r="I10" i="4"/>
  <c r="H10" i="4"/>
  <c r="I9" i="4"/>
  <c r="H9" i="4"/>
  <c r="I8" i="4"/>
  <c r="H8" i="4"/>
  <c r="I7" i="4"/>
  <c r="H7" i="4"/>
  <c r="I6" i="4"/>
  <c r="H6" i="4"/>
  <c r="I5" i="4"/>
  <c r="H5" i="4"/>
  <c r="E4" i="4"/>
  <c r="F4" i="4" s="1"/>
  <c r="D4" i="4"/>
  <c r="C4" i="4"/>
  <c r="D5" i="4" s="1"/>
  <c r="I34" i="3"/>
  <c r="H34" i="3"/>
  <c r="I33" i="3"/>
  <c r="H33" i="3"/>
  <c r="I32" i="3"/>
  <c r="H32" i="3"/>
  <c r="I31" i="3"/>
  <c r="H31" i="3"/>
  <c r="I30" i="3"/>
  <c r="J30" i="3" s="1"/>
  <c r="K30" i="3" s="1"/>
  <c r="L30" i="3" s="1"/>
  <c r="M30" i="3" s="1"/>
  <c r="H30" i="3"/>
  <c r="I29" i="3"/>
  <c r="J29" i="3" s="1"/>
  <c r="K29" i="3" s="1"/>
  <c r="L29" i="3" s="1"/>
  <c r="M29" i="3" s="1"/>
  <c r="H29" i="3"/>
  <c r="I28" i="3"/>
  <c r="H28" i="3"/>
  <c r="J28" i="3" s="1"/>
  <c r="K28" i="3" s="1"/>
  <c r="L28" i="3" s="1"/>
  <c r="M28" i="3" s="1"/>
  <c r="L27" i="3"/>
  <c r="M27" i="3" s="1"/>
  <c r="K27" i="3"/>
  <c r="J27" i="3"/>
  <c r="I27" i="3"/>
  <c r="H27" i="3"/>
  <c r="K26" i="3"/>
  <c r="J26" i="3"/>
  <c r="I26" i="3"/>
  <c r="H26" i="3"/>
  <c r="J25" i="3"/>
  <c r="K25" i="3" s="1"/>
  <c r="I25" i="3"/>
  <c r="H25" i="3"/>
  <c r="I24" i="3"/>
  <c r="H24" i="3"/>
  <c r="I23" i="3"/>
  <c r="H23" i="3"/>
  <c r="J23" i="3" s="1"/>
  <c r="K23" i="3" s="1"/>
  <c r="J22" i="3"/>
  <c r="K22" i="3" s="1"/>
  <c r="I22" i="3"/>
  <c r="L22" i="3" s="1"/>
  <c r="M22" i="3" s="1"/>
  <c r="H22" i="3"/>
  <c r="I21" i="3"/>
  <c r="H21" i="3"/>
  <c r="I20" i="3"/>
  <c r="H20" i="3"/>
  <c r="J20" i="3" s="1"/>
  <c r="K20" i="3" s="1"/>
  <c r="L20" i="3" s="1"/>
  <c r="M20" i="3" s="1"/>
  <c r="L19" i="3"/>
  <c r="M19" i="3" s="1"/>
  <c r="K19" i="3"/>
  <c r="J19" i="3"/>
  <c r="I19" i="3"/>
  <c r="H19" i="3"/>
  <c r="K18" i="3"/>
  <c r="J18" i="3"/>
  <c r="I18" i="3"/>
  <c r="H18" i="3"/>
  <c r="J17" i="3"/>
  <c r="K17" i="3" s="1"/>
  <c r="I17" i="3"/>
  <c r="L17" i="3" s="1"/>
  <c r="M17" i="3" s="1"/>
  <c r="H17" i="3"/>
  <c r="I16" i="3"/>
  <c r="H16" i="3"/>
  <c r="I15" i="3"/>
  <c r="H15" i="3"/>
  <c r="J15" i="3" s="1"/>
  <c r="K15" i="3" s="1"/>
  <c r="J14" i="3"/>
  <c r="K14" i="3" s="1"/>
  <c r="I14" i="3"/>
  <c r="H14" i="3"/>
  <c r="I13" i="3"/>
  <c r="H13" i="3"/>
  <c r="I12" i="3"/>
  <c r="H12" i="3"/>
  <c r="J12" i="3" s="1"/>
  <c r="K12" i="3" s="1"/>
  <c r="L12" i="3" s="1"/>
  <c r="M12" i="3" s="1"/>
  <c r="L11" i="3"/>
  <c r="M11" i="3" s="1"/>
  <c r="K11" i="3"/>
  <c r="J11" i="3"/>
  <c r="I11" i="3"/>
  <c r="H11" i="3"/>
  <c r="K10" i="3"/>
  <c r="J10" i="3"/>
  <c r="I10" i="3"/>
  <c r="H10" i="3"/>
  <c r="J9" i="3"/>
  <c r="K9" i="3" s="1"/>
  <c r="I9" i="3"/>
  <c r="H9" i="3"/>
  <c r="I8" i="3"/>
  <c r="H8" i="3"/>
  <c r="I7" i="3"/>
  <c r="H7" i="3"/>
  <c r="J7" i="3" s="1"/>
  <c r="K7" i="3" s="1"/>
  <c r="J6" i="3"/>
  <c r="K6" i="3" s="1"/>
  <c r="I6" i="3"/>
  <c r="L6" i="3" s="1"/>
  <c r="M6" i="3" s="1"/>
  <c r="H6" i="3"/>
  <c r="I5" i="3"/>
  <c r="H5" i="3"/>
  <c r="F5" i="3"/>
  <c r="E5" i="3"/>
  <c r="D5" i="3"/>
  <c r="D6" i="3" s="1"/>
  <c r="E4" i="3"/>
  <c r="F4" i="3" s="1"/>
  <c r="D4" i="3"/>
  <c r="C4" i="3"/>
  <c r="J22" i="1"/>
  <c r="M22" i="1" s="1"/>
  <c r="I6" i="1"/>
  <c r="I7" i="1"/>
  <c r="I8" i="1"/>
  <c r="I9" i="1"/>
  <c r="I10" i="1"/>
  <c r="J10" i="1" s="1"/>
  <c r="M10" i="1" s="1"/>
  <c r="N10" i="1" s="1"/>
  <c r="O10" i="1" s="1"/>
  <c r="I11" i="1"/>
  <c r="J11" i="1" s="1"/>
  <c r="M11" i="1" s="1"/>
  <c r="I12" i="1"/>
  <c r="I13" i="1"/>
  <c r="J13" i="1" s="1"/>
  <c r="M13" i="1" s="1"/>
  <c r="N13" i="1" s="1"/>
  <c r="O13" i="1" s="1"/>
  <c r="I14" i="1"/>
  <c r="J14" i="1" s="1"/>
  <c r="M14" i="1" s="1"/>
  <c r="I15" i="1"/>
  <c r="I16" i="1"/>
  <c r="I17" i="1"/>
  <c r="I18" i="1"/>
  <c r="J18" i="1" s="1"/>
  <c r="M18" i="1" s="1"/>
  <c r="N18" i="1" s="1"/>
  <c r="O18" i="1" s="1"/>
  <c r="I19" i="1"/>
  <c r="J19" i="1" s="1"/>
  <c r="M19" i="1" s="1"/>
  <c r="I20" i="1"/>
  <c r="I21" i="1"/>
  <c r="I22" i="1"/>
  <c r="I23" i="1"/>
  <c r="I24" i="1"/>
  <c r="I25" i="1"/>
  <c r="I26" i="1"/>
  <c r="J26" i="1" s="1"/>
  <c r="M26" i="1" s="1"/>
  <c r="N26" i="1" s="1"/>
  <c r="O26" i="1" s="1"/>
  <c r="I27" i="1"/>
  <c r="J27" i="1" s="1"/>
  <c r="M27" i="1" s="1"/>
  <c r="I28" i="1"/>
  <c r="I29" i="1"/>
  <c r="J29" i="1" s="1"/>
  <c r="M29" i="1" s="1"/>
  <c r="N29" i="1" s="1"/>
  <c r="O29" i="1" s="1"/>
  <c r="I30" i="1"/>
  <c r="J30" i="1" s="1"/>
  <c r="M30" i="1" s="1"/>
  <c r="I31" i="1"/>
  <c r="I32" i="1"/>
  <c r="I33" i="1"/>
  <c r="I34" i="1"/>
  <c r="J34" i="1" s="1"/>
  <c r="M34" i="1" s="1"/>
  <c r="N34" i="1" s="1"/>
  <c r="O34" i="1" s="1"/>
  <c r="I5" i="1"/>
  <c r="J5" i="1" s="1"/>
  <c r="H6" i="1"/>
  <c r="J6" i="1" s="1"/>
  <c r="M6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J21" i="1" s="1"/>
  <c r="M21" i="1" s="1"/>
  <c r="N21" i="1" s="1"/>
  <c r="O21" i="1" s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5" i="1"/>
  <c r="O34" i="2"/>
  <c r="M34" i="2"/>
  <c r="G34" i="2"/>
  <c r="E34" i="2"/>
  <c r="O33" i="2"/>
  <c r="N33" i="2"/>
  <c r="M33" i="2"/>
  <c r="G33" i="2"/>
  <c r="E33" i="2"/>
  <c r="M32" i="2"/>
  <c r="G32" i="2"/>
  <c r="E32" i="2"/>
  <c r="M31" i="2"/>
  <c r="G31" i="2"/>
  <c r="E31" i="2"/>
  <c r="M30" i="2"/>
  <c r="G30" i="2"/>
  <c r="E30" i="2"/>
  <c r="M29" i="2"/>
  <c r="G29" i="2"/>
  <c r="E29" i="2"/>
  <c r="M28" i="2"/>
  <c r="G28" i="2"/>
  <c r="E28" i="2"/>
  <c r="M27" i="2"/>
  <c r="G27" i="2"/>
  <c r="E27" i="2"/>
  <c r="M26" i="2"/>
  <c r="G26" i="2"/>
  <c r="E26" i="2"/>
  <c r="M25" i="2"/>
  <c r="G25" i="2"/>
  <c r="E25" i="2"/>
  <c r="M24" i="2"/>
  <c r="G24" i="2"/>
  <c r="E24" i="2"/>
  <c r="M23" i="2"/>
  <c r="G23" i="2"/>
  <c r="E23" i="2"/>
  <c r="M22" i="2"/>
  <c r="G22" i="2"/>
  <c r="E22" i="2"/>
  <c r="M21" i="2"/>
  <c r="G21" i="2"/>
  <c r="E21" i="2"/>
  <c r="M20" i="2"/>
  <c r="G20" i="2"/>
  <c r="E20" i="2"/>
  <c r="M19" i="2"/>
  <c r="G19" i="2"/>
  <c r="E19" i="2"/>
  <c r="M18" i="2"/>
  <c r="G18" i="2"/>
  <c r="E18" i="2"/>
  <c r="M17" i="2"/>
  <c r="G17" i="2"/>
  <c r="E17" i="2"/>
  <c r="M16" i="2"/>
  <c r="G16" i="2"/>
  <c r="E16" i="2"/>
  <c r="M15" i="2"/>
  <c r="G15" i="2"/>
  <c r="E15" i="2"/>
  <c r="M14" i="2"/>
  <c r="G14" i="2"/>
  <c r="E14" i="2"/>
  <c r="M13" i="2"/>
  <c r="O30" i="2" s="1"/>
  <c r="G13" i="2"/>
  <c r="E13" i="2"/>
  <c r="M12" i="2"/>
  <c r="G12" i="2"/>
  <c r="E12" i="2"/>
  <c r="M11" i="2"/>
  <c r="G11" i="2"/>
  <c r="E11" i="2"/>
  <c r="O10" i="2"/>
  <c r="M10" i="2"/>
  <c r="G10" i="2"/>
  <c r="E10" i="2"/>
  <c r="M9" i="2"/>
  <c r="G9" i="2"/>
  <c r="E9" i="2"/>
  <c r="M8" i="2"/>
  <c r="G8" i="2"/>
  <c r="E8" i="2"/>
  <c r="N7" i="2"/>
  <c r="M7" i="2"/>
  <c r="G7" i="2"/>
  <c r="E7" i="2"/>
  <c r="M6" i="2"/>
  <c r="O29" i="2" s="1"/>
  <c r="G6" i="2"/>
  <c r="E6" i="2"/>
  <c r="D6" i="2"/>
  <c r="M5" i="2"/>
  <c r="G5" i="2"/>
  <c r="E5" i="2"/>
  <c r="D5" i="2"/>
  <c r="C5" i="2"/>
  <c r="C6" i="2" s="1"/>
  <c r="M4" i="2"/>
  <c r="N34" i="2" s="1"/>
  <c r="G4" i="2"/>
  <c r="F4" i="2"/>
  <c r="H4" i="2" s="1"/>
  <c r="E4" i="2"/>
  <c r="D4" i="2"/>
  <c r="C4" i="2"/>
  <c r="F5" i="2" s="1"/>
  <c r="H5" i="2" s="1"/>
  <c r="I5" i="2" s="1"/>
  <c r="J5" i="2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E4" i="1"/>
  <c r="F4" i="1" s="1"/>
  <c r="J10" i="4" l="1"/>
  <c r="K10" i="4" s="1"/>
  <c r="L10" i="4" s="1"/>
  <c r="M10" i="4" s="1"/>
  <c r="J18" i="4"/>
  <c r="K18" i="4" s="1"/>
  <c r="L18" i="4" s="1"/>
  <c r="M18" i="4" s="1"/>
  <c r="U12" i="4"/>
  <c r="U18" i="4"/>
  <c r="U5" i="4"/>
  <c r="X12" i="4" s="1"/>
  <c r="Y12" i="4" s="1"/>
  <c r="J5" i="4"/>
  <c r="K5" i="4" s="1"/>
  <c r="L5" i="4" s="1"/>
  <c r="M5" i="4" s="1"/>
  <c r="U20" i="4"/>
  <c r="U16" i="4"/>
  <c r="U15" i="4"/>
  <c r="U14" i="4"/>
  <c r="U11" i="4"/>
  <c r="U10" i="4"/>
  <c r="U9" i="4"/>
  <c r="U8" i="4"/>
  <c r="U13" i="4"/>
  <c r="U7" i="4"/>
  <c r="U6" i="4"/>
  <c r="X9" i="4" s="1"/>
  <c r="Y9" i="4" s="1"/>
  <c r="K5" i="5"/>
  <c r="L5" i="5" s="1"/>
  <c r="J6" i="5"/>
  <c r="C6" i="5"/>
  <c r="P5" i="5"/>
  <c r="Q5" i="5" s="1"/>
  <c r="D6" i="5"/>
  <c r="E5" i="5"/>
  <c r="F5" i="5" s="1"/>
  <c r="J10" i="5"/>
  <c r="M9" i="5"/>
  <c r="N9" i="5" s="1"/>
  <c r="O9" i="5" s="1"/>
  <c r="J8" i="5"/>
  <c r="J7" i="5"/>
  <c r="J18" i="5"/>
  <c r="M18" i="5" s="1"/>
  <c r="N18" i="5" s="1"/>
  <c r="O18" i="5" s="1"/>
  <c r="J11" i="5"/>
  <c r="M11" i="5" s="1"/>
  <c r="N11" i="5" s="1"/>
  <c r="O11" i="5" s="1"/>
  <c r="J19" i="5"/>
  <c r="M19" i="5" s="1"/>
  <c r="N19" i="5" s="1"/>
  <c r="O19" i="5" s="1"/>
  <c r="N13" i="5"/>
  <c r="O13" i="5" s="1"/>
  <c r="J21" i="5"/>
  <c r="M21" i="5" s="1"/>
  <c r="N21" i="5" s="1"/>
  <c r="O21" i="5" s="1"/>
  <c r="J16" i="5"/>
  <c r="M16" i="5" s="1"/>
  <c r="N16" i="5" s="1"/>
  <c r="O16" i="5" s="1"/>
  <c r="J24" i="5"/>
  <c r="M24" i="5" s="1"/>
  <c r="N24" i="5" s="1"/>
  <c r="O24" i="5" s="1"/>
  <c r="J15" i="5"/>
  <c r="M15" i="5" s="1"/>
  <c r="N15" i="5" s="1"/>
  <c r="O15" i="5" s="1"/>
  <c r="J23" i="5"/>
  <c r="M23" i="5" s="1"/>
  <c r="N23" i="5" s="1"/>
  <c r="O23" i="5" s="1"/>
  <c r="J14" i="5"/>
  <c r="M14" i="5" s="1"/>
  <c r="N14" i="5" s="1"/>
  <c r="O14" i="5" s="1"/>
  <c r="J22" i="5"/>
  <c r="M22" i="5" s="1"/>
  <c r="N22" i="5" s="1"/>
  <c r="O22" i="5" s="1"/>
  <c r="J12" i="5"/>
  <c r="J20" i="5"/>
  <c r="M20" i="5" s="1"/>
  <c r="N20" i="5" s="1"/>
  <c r="O20" i="5" s="1"/>
  <c r="J28" i="1"/>
  <c r="M28" i="1" s="1"/>
  <c r="J20" i="1"/>
  <c r="M20" i="1" s="1"/>
  <c r="J12" i="1"/>
  <c r="M12" i="1" s="1"/>
  <c r="N32" i="1"/>
  <c r="O32" i="1" s="1"/>
  <c r="M5" i="1"/>
  <c r="N5" i="1" s="1"/>
  <c r="O5" i="1" s="1"/>
  <c r="K6" i="1"/>
  <c r="K5" i="1"/>
  <c r="N31" i="1"/>
  <c r="O31" i="1" s="1"/>
  <c r="N30" i="1"/>
  <c r="O30" i="1" s="1"/>
  <c r="N22" i="1"/>
  <c r="O22" i="1" s="1"/>
  <c r="N14" i="1"/>
  <c r="O14" i="1" s="1"/>
  <c r="N6" i="1"/>
  <c r="O6" i="1" s="1"/>
  <c r="J33" i="1"/>
  <c r="M33" i="1" s="1"/>
  <c r="N33" i="1" s="1"/>
  <c r="O33" i="1" s="1"/>
  <c r="J17" i="1"/>
  <c r="M17" i="1" s="1"/>
  <c r="N17" i="1" s="1"/>
  <c r="O17" i="1" s="1"/>
  <c r="J32" i="1"/>
  <c r="M32" i="1" s="1"/>
  <c r="J24" i="1"/>
  <c r="M24" i="1" s="1"/>
  <c r="N24" i="1" s="1"/>
  <c r="O24" i="1" s="1"/>
  <c r="J16" i="1"/>
  <c r="M16" i="1" s="1"/>
  <c r="N16" i="1" s="1"/>
  <c r="O16" i="1" s="1"/>
  <c r="J8" i="1"/>
  <c r="M8" i="1" s="1"/>
  <c r="N8" i="1" s="1"/>
  <c r="O8" i="1" s="1"/>
  <c r="N28" i="1"/>
  <c r="O28" i="1" s="1"/>
  <c r="N20" i="1"/>
  <c r="O20" i="1" s="1"/>
  <c r="N12" i="1"/>
  <c r="O12" i="1" s="1"/>
  <c r="J25" i="1"/>
  <c r="M25" i="1" s="1"/>
  <c r="N25" i="1" s="1"/>
  <c r="O25" i="1" s="1"/>
  <c r="J9" i="1"/>
  <c r="M9" i="1" s="1"/>
  <c r="N9" i="1" s="1"/>
  <c r="O9" i="1" s="1"/>
  <c r="P5" i="1"/>
  <c r="Q5" i="1" s="1"/>
  <c r="J31" i="1"/>
  <c r="M31" i="1" s="1"/>
  <c r="J23" i="1"/>
  <c r="M23" i="1" s="1"/>
  <c r="N23" i="1" s="1"/>
  <c r="O23" i="1" s="1"/>
  <c r="J15" i="1"/>
  <c r="M15" i="1" s="1"/>
  <c r="N15" i="1" s="1"/>
  <c r="O15" i="1" s="1"/>
  <c r="J7" i="1"/>
  <c r="M7" i="1" s="1"/>
  <c r="N7" i="1" s="1"/>
  <c r="O7" i="1" s="1"/>
  <c r="N27" i="1"/>
  <c r="O27" i="1" s="1"/>
  <c r="N19" i="1"/>
  <c r="O19" i="1" s="1"/>
  <c r="N11" i="1"/>
  <c r="O11" i="1" s="1"/>
  <c r="J15" i="4"/>
  <c r="K15" i="4" s="1"/>
  <c r="L15" i="4" s="1"/>
  <c r="M15" i="4" s="1"/>
  <c r="J19" i="4"/>
  <c r="K19" i="4" s="1"/>
  <c r="L19" i="4" s="1"/>
  <c r="M19" i="4" s="1"/>
  <c r="J20" i="4"/>
  <c r="K20" i="4" s="1"/>
  <c r="L20" i="4" s="1"/>
  <c r="M20" i="4" s="1"/>
  <c r="J12" i="4"/>
  <c r="K12" i="4" s="1"/>
  <c r="L12" i="4" s="1"/>
  <c r="M12" i="4" s="1"/>
  <c r="J7" i="4"/>
  <c r="K7" i="4" s="1"/>
  <c r="L7" i="4" s="1"/>
  <c r="M7" i="4" s="1"/>
  <c r="D6" i="4"/>
  <c r="C5" i="4"/>
  <c r="N5" i="4" s="1"/>
  <c r="O5" i="4" s="1"/>
  <c r="E5" i="4"/>
  <c r="F5" i="4" s="1"/>
  <c r="G5" i="4" s="1"/>
  <c r="J9" i="4"/>
  <c r="K9" i="4" s="1"/>
  <c r="J17" i="4"/>
  <c r="K17" i="4" s="1"/>
  <c r="L17" i="4" s="1"/>
  <c r="M17" i="4" s="1"/>
  <c r="J8" i="4"/>
  <c r="K8" i="4" s="1"/>
  <c r="L8" i="4" s="1"/>
  <c r="M8" i="4" s="1"/>
  <c r="J16" i="4"/>
  <c r="K16" i="4" s="1"/>
  <c r="L16" i="4" s="1"/>
  <c r="M16" i="4" s="1"/>
  <c r="L9" i="4"/>
  <c r="M9" i="4" s="1"/>
  <c r="J6" i="4"/>
  <c r="K6" i="4" s="1"/>
  <c r="L6" i="4" s="1"/>
  <c r="M6" i="4" s="1"/>
  <c r="J14" i="4"/>
  <c r="K14" i="4" s="1"/>
  <c r="L14" i="4" s="1"/>
  <c r="M14" i="4" s="1"/>
  <c r="L9" i="3"/>
  <c r="M9" i="3" s="1"/>
  <c r="L14" i="3"/>
  <c r="M14" i="3" s="1"/>
  <c r="L32" i="3"/>
  <c r="M32" i="3" s="1"/>
  <c r="E6" i="3"/>
  <c r="F6" i="3" s="1"/>
  <c r="G6" i="3" s="1"/>
  <c r="D7" i="3"/>
  <c r="C6" i="3"/>
  <c r="N6" i="3" s="1"/>
  <c r="O6" i="3" s="1"/>
  <c r="L15" i="3"/>
  <c r="M15" i="3" s="1"/>
  <c r="L7" i="3"/>
  <c r="M7" i="3" s="1"/>
  <c r="G5" i="3"/>
  <c r="L23" i="3"/>
  <c r="M23" i="3" s="1"/>
  <c r="L13" i="3"/>
  <c r="M13" i="3" s="1"/>
  <c r="L25" i="3"/>
  <c r="M25" i="3" s="1"/>
  <c r="L34" i="3"/>
  <c r="M34" i="3" s="1"/>
  <c r="J34" i="3"/>
  <c r="K34" i="3" s="1"/>
  <c r="J33" i="3"/>
  <c r="K33" i="3" s="1"/>
  <c r="L33" i="3" s="1"/>
  <c r="M33" i="3" s="1"/>
  <c r="J8" i="3"/>
  <c r="K8" i="3" s="1"/>
  <c r="L8" i="3" s="1"/>
  <c r="M8" i="3" s="1"/>
  <c r="L10" i="3"/>
  <c r="M10" i="3" s="1"/>
  <c r="J16" i="3"/>
  <c r="K16" i="3" s="1"/>
  <c r="L16" i="3" s="1"/>
  <c r="M16" i="3" s="1"/>
  <c r="L18" i="3"/>
  <c r="M18" i="3" s="1"/>
  <c r="J24" i="3"/>
  <c r="K24" i="3" s="1"/>
  <c r="L24" i="3" s="1"/>
  <c r="M24" i="3" s="1"/>
  <c r="L26" i="3"/>
  <c r="M26" i="3" s="1"/>
  <c r="J32" i="3"/>
  <c r="K32" i="3" s="1"/>
  <c r="J31" i="3"/>
  <c r="K31" i="3" s="1"/>
  <c r="L31" i="3" s="1"/>
  <c r="M31" i="3" s="1"/>
  <c r="J5" i="3"/>
  <c r="J13" i="3"/>
  <c r="K13" i="3" s="1"/>
  <c r="J21" i="3"/>
  <c r="K21" i="3" s="1"/>
  <c r="L21" i="3" s="1"/>
  <c r="M21" i="3" s="1"/>
  <c r="C5" i="3"/>
  <c r="N5" i="3" s="1"/>
  <c r="O5" i="3" s="1"/>
  <c r="E5" i="1"/>
  <c r="F5" i="1" s="1"/>
  <c r="D6" i="1"/>
  <c r="P6" i="1" s="1"/>
  <c r="Q6" i="1" s="1"/>
  <c r="D7" i="2"/>
  <c r="C7" i="2"/>
  <c r="F7" i="2"/>
  <c r="H7" i="2" s="1"/>
  <c r="I7" i="2" s="1"/>
  <c r="J7" i="2" s="1"/>
  <c r="P7" i="2"/>
  <c r="O14" i="2"/>
  <c r="O7" i="2"/>
  <c r="N21" i="2"/>
  <c r="N29" i="2"/>
  <c r="O21" i="2"/>
  <c r="K4" i="2"/>
  <c r="O6" i="2"/>
  <c r="N12" i="2"/>
  <c r="N16" i="2"/>
  <c r="N20" i="2"/>
  <c r="N24" i="2"/>
  <c r="N28" i="2"/>
  <c r="N32" i="2"/>
  <c r="O22" i="2"/>
  <c r="N13" i="2"/>
  <c r="N25" i="2"/>
  <c r="F6" i="2"/>
  <c r="H6" i="2" s="1"/>
  <c r="I6" i="2" s="1"/>
  <c r="J6" i="2" s="1"/>
  <c r="N5" i="2"/>
  <c r="P5" i="2" s="1"/>
  <c r="N9" i="2"/>
  <c r="O12" i="2"/>
  <c r="O16" i="2"/>
  <c r="O20" i="2"/>
  <c r="O24" i="2"/>
  <c r="O28" i="2"/>
  <c r="O32" i="2"/>
  <c r="O13" i="2"/>
  <c r="O5" i="2"/>
  <c r="O9" i="2"/>
  <c r="N11" i="2"/>
  <c r="N15" i="2"/>
  <c r="N19" i="2"/>
  <c r="N23" i="2"/>
  <c r="N27" i="2"/>
  <c r="N31" i="2"/>
  <c r="O18" i="2"/>
  <c r="O26" i="2"/>
  <c r="N6" i="2"/>
  <c r="P6" i="2" s="1"/>
  <c r="O17" i="2"/>
  <c r="N4" i="2"/>
  <c r="P4" i="2" s="1"/>
  <c r="N8" i="2"/>
  <c r="O11" i="2"/>
  <c r="O15" i="2"/>
  <c r="O19" i="2"/>
  <c r="O23" i="2"/>
  <c r="O27" i="2"/>
  <c r="O31" i="2"/>
  <c r="N17" i="2"/>
  <c r="O25" i="2"/>
  <c r="O4" i="2"/>
  <c r="O8" i="2"/>
  <c r="N10" i="2"/>
  <c r="N14" i="2"/>
  <c r="N18" i="2"/>
  <c r="N22" i="2"/>
  <c r="N26" i="2"/>
  <c r="N30" i="2"/>
  <c r="X19" i="4" l="1"/>
  <c r="Y19" i="4" s="1"/>
  <c r="Q5" i="4"/>
  <c r="X7" i="4"/>
  <c r="Y7" i="4" s="1"/>
  <c r="X10" i="4"/>
  <c r="Y10" i="4" s="1"/>
  <c r="X16" i="4"/>
  <c r="Y16" i="4" s="1"/>
  <c r="X18" i="4"/>
  <c r="Y18" i="4" s="1"/>
  <c r="X20" i="4"/>
  <c r="Y20" i="4" s="1"/>
  <c r="X11" i="4"/>
  <c r="Y11" i="4" s="1"/>
  <c r="X17" i="4"/>
  <c r="Y17" i="4" s="1"/>
  <c r="X6" i="4"/>
  <c r="Y6" i="4" s="1"/>
  <c r="X5" i="4"/>
  <c r="Y5" i="4" s="1"/>
  <c r="X8" i="4"/>
  <c r="Y8" i="4" s="1"/>
  <c r="X13" i="4"/>
  <c r="Y13" i="4" s="1"/>
  <c r="X14" i="4"/>
  <c r="Y14" i="4" s="1"/>
  <c r="X15" i="4"/>
  <c r="Y15" i="4" s="1"/>
  <c r="K10" i="5"/>
  <c r="L10" i="5" s="1"/>
  <c r="K7" i="5"/>
  <c r="L7" i="5" s="1"/>
  <c r="K11" i="5"/>
  <c r="L11" i="5" s="1"/>
  <c r="M6" i="5"/>
  <c r="N6" i="5" s="1"/>
  <c r="O6" i="5" s="1"/>
  <c r="K9" i="5"/>
  <c r="K8" i="5"/>
  <c r="L8" i="5" s="1"/>
  <c r="K6" i="5"/>
  <c r="L6" i="5" s="1"/>
  <c r="M12" i="5"/>
  <c r="N12" i="5" s="1"/>
  <c r="O12" i="5" s="1"/>
  <c r="K18" i="5"/>
  <c r="L18" i="5" s="1"/>
  <c r="K25" i="5"/>
  <c r="L25" i="5" s="1"/>
  <c r="K17" i="5"/>
  <c r="L17" i="5" s="1"/>
  <c r="K24" i="5"/>
  <c r="L24" i="5" s="1"/>
  <c r="K16" i="5"/>
  <c r="L16" i="5" s="1"/>
  <c r="K23" i="5"/>
  <c r="L23" i="5" s="1"/>
  <c r="K15" i="5"/>
  <c r="L15" i="5" s="1"/>
  <c r="K22" i="5"/>
  <c r="L22" i="5" s="1"/>
  <c r="K14" i="5"/>
  <c r="L14" i="5" s="1"/>
  <c r="K21" i="5"/>
  <c r="L21" i="5" s="1"/>
  <c r="K13" i="5"/>
  <c r="L13" i="5" s="1"/>
  <c r="K20" i="5"/>
  <c r="L20" i="5" s="1"/>
  <c r="K12" i="5"/>
  <c r="L12" i="5" s="1"/>
  <c r="K19" i="5"/>
  <c r="L19" i="5" s="1"/>
  <c r="E6" i="5"/>
  <c r="F6" i="5" s="1"/>
  <c r="D7" i="5"/>
  <c r="M10" i="5"/>
  <c r="N10" i="5" s="1"/>
  <c r="O10" i="5" s="1"/>
  <c r="M7" i="5"/>
  <c r="N7" i="5" s="1"/>
  <c r="O7" i="5" s="1"/>
  <c r="C7" i="5"/>
  <c r="P6" i="5"/>
  <c r="Q6" i="5" s="1"/>
  <c r="M8" i="5"/>
  <c r="N8" i="5" s="1"/>
  <c r="O8" i="5" s="1"/>
  <c r="K13" i="1"/>
  <c r="K32" i="1"/>
  <c r="K22" i="1"/>
  <c r="K12" i="1"/>
  <c r="K21" i="1"/>
  <c r="K30" i="1"/>
  <c r="K7" i="1"/>
  <c r="K29" i="1"/>
  <c r="K28" i="1"/>
  <c r="K23" i="1"/>
  <c r="K18" i="1"/>
  <c r="K15" i="1"/>
  <c r="K14" i="1"/>
  <c r="K11" i="1"/>
  <c r="K8" i="1"/>
  <c r="K17" i="1"/>
  <c r="K26" i="1"/>
  <c r="K10" i="1"/>
  <c r="K19" i="1"/>
  <c r="K16" i="1"/>
  <c r="K25" i="1"/>
  <c r="K34" i="1"/>
  <c r="K20" i="1"/>
  <c r="K31" i="1"/>
  <c r="K27" i="1"/>
  <c r="K24" i="1"/>
  <c r="K33" i="1"/>
  <c r="E6" i="1"/>
  <c r="F6" i="1" s="1"/>
  <c r="G6" i="1" s="1"/>
  <c r="P12" i="4"/>
  <c r="Q12" i="4" s="1"/>
  <c r="P16" i="4"/>
  <c r="Q16" i="4" s="1"/>
  <c r="P10" i="4"/>
  <c r="Q10" i="4" s="1"/>
  <c r="P14" i="4"/>
  <c r="Q14" i="4" s="1"/>
  <c r="P7" i="4"/>
  <c r="Q7" i="4" s="1"/>
  <c r="P20" i="4"/>
  <c r="Q20" i="4" s="1"/>
  <c r="P18" i="4"/>
  <c r="Q18" i="4" s="1"/>
  <c r="P15" i="4"/>
  <c r="Q15" i="4" s="1"/>
  <c r="P8" i="4"/>
  <c r="Q8" i="4" s="1"/>
  <c r="P13" i="4"/>
  <c r="Q13" i="4" s="1"/>
  <c r="P11" i="4"/>
  <c r="Q11" i="4" s="1"/>
  <c r="P9" i="4"/>
  <c r="Q9" i="4" s="1"/>
  <c r="P19" i="4"/>
  <c r="Q19" i="4" s="1"/>
  <c r="P17" i="4"/>
  <c r="Q17" i="4" s="1"/>
  <c r="P6" i="4"/>
  <c r="Q6" i="4" s="1"/>
  <c r="E6" i="4"/>
  <c r="F6" i="4" s="1"/>
  <c r="G6" i="4" s="1"/>
  <c r="D7" i="4"/>
  <c r="C6" i="4"/>
  <c r="N6" i="4" s="1"/>
  <c r="O6" i="4" s="1"/>
  <c r="P33" i="3"/>
  <c r="Q33" i="3" s="1"/>
  <c r="P25" i="3"/>
  <c r="Q25" i="3" s="1"/>
  <c r="P17" i="3"/>
  <c r="Q17" i="3" s="1"/>
  <c r="P9" i="3"/>
  <c r="Q9" i="3" s="1"/>
  <c r="P34" i="3"/>
  <c r="Q34" i="3" s="1"/>
  <c r="P26" i="3"/>
  <c r="Q26" i="3" s="1"/>
  <c r="P18" i="3"/>
  <c r="Q18" i="3" s="1"/>
  <c r="P10" i="3"/>
  <c r="Q10" i="3" s="1"/>
  <c r="K5" i="3"/>
  <c r="L5" i="3" s="1"/>
  <c r="M5" i="3" s="1"/>
  <c r="P27" i="3"/>
  <c r="Q27" i="3" s="1"/>
  <c r="P19" i="3"/>
  <c r="Q19" i="3" s="1"/>
  <c r="P11" i="3"/>
  <c r="Q11" i="3" s="1"/>
  <c r="P28" i="3"/>
  <c r="Q28" i="3" s="1"/>
  <c r="P20" i="3"/>
  <c r="Q20" i="3" s="1"/>
  <c r="P12" i="3"/>
  <c r="Q12" i="3" s="1"/>
  <c r="P29" i="3"/>
  <c r="Q29" i="3" s="1"/>
  <c r="P21" i="3"/>
  <c r="Q21" i="3" s="1"/>
  <c r="P13" i="3"/>
  <c r="Q13" i="3" s="1"/>
  <c r="P5" i="3"/>
  <c r="Q5" i="3" s="1"/>
  <c r="P30" i="3"/>
  <c r="Q30" i="3" s="1"/>
  <c r="P22" i="3"/>
  <c r="Q22" i="3" s="1"/>
  <c r="P14" i="3"/>
  <c r="Q14" i="3" s="1"/>
  <c r="P6" i="3"/>
  <c r="Q6" i="3" s="1"/>
  <c r="P31" i="3"/>
  <c r="Q31" i="3" s="1"/>
  <c r="P23" i="3"/>
  <c r="Q23" i="3" s="1"/>
  <c r="P15" i="3"/>
  <c r="Q15" i="3" s="1"/>
  <c r="P7" i="3"/>
  <c r="Q7" i="3" s="1"/>
  <c r="P32" i="3"/>
  <c r="Q32" i="3" s="1"/>
  <c r="P24" i="3"/>
  <c r="Q24" i="3" s="1"/>
  <c r="P16" i="3"/>
  <c r="Q16" i="3" s="1"/>
  <c r="P8" i="3"/>
  <c r="Q8" i="3" s="1"/>
  <c r="E7" i="3"/>
  <c r="F7" i="3" s="1"/>
  <c r="G7" i="3" s="1"/>
  <c r="D8" i="3"/>
  <c r="C7" i="3"/>
  <c r="N7" i="3" s="1"/>
  <c r="O7" i="3" s="1"/>
  <c r="D7" i="1"/>
  <c r="G5" i="1"/>
  <c r="P8" i="2"/>
  <c r="K5" i="2"/>
  <c r="L4" i="2"/>
  <c r="F8" i="2"/>
  <c r="H8" i="2" s="1"/>
  <c r="I8" i="2" s="1"/>
  <c r="J8" i="2" s="1"/>
  <c r="D8" i="2"/>
  <c r="C8" i="2"/>
  <c r="C8" i="5" l="1"/>
  <c r="P7" i="5"/>
  <c r="Q7" i="5" s="1"/>
  <c r="D8" i="5"/>
  <c r="E7" i="5"/>
  <c r="F7" i="5" s="1"/>
  <c r="D8" i="1"/>
  <c r="P7" i="1"/>
  <c r="Q7" i="1" s="1"/>
  <c r="E7" i="4"/>
  <c r="F7" i="4" s="1"/>
  <c r="G7" i="4" s="1"/>
  <c r="D8" i="4"/>
  <c r="C7" i="4"/>
  <c r="N7" i="4" s="1"/>
  <c r="O7" i="4" s="1"/>
  <c r="E8" i="3"/>
  <c r="F8" i="3" s="1"/>
  <c r="G8" i="3" s="1"/>
  <c r="D9" i="3"/>
  <c r="C8" i="3"/>
  <c r="N8" i="3" s="1"/>
  <c r="O8" i="3" s="1"/>
  <c r="E7" i="1"/>
  <c r="F7" i="1" s="1"/>
  <c r="G7" i="1" s="1"/>
  <c r="K6" i="2"/>
  <c r="L5" i="2"/>
  <c r="C9" i="2"/>
  <c r="F9" i="2"/>
  <c r="H9" i="2" s="1"/>
  <c r="D9" i="2"/>
  <c r="E8" i="5" l="1"/>
  <c r="F8" i="5" s="1"/>
  <c r="D9" i="5"/>
  <c r="C9" i="5"/>
  <c r="P8" i="5"/>
  <c r="Q8" i="5" s="1"/>
  <c r="D9" i="1"/>
  <c r="P8" i="1"/>
  <c r="Q8" i="1" s="1"/>
  <c r="E8" i="4"/>
  <c r="F8" i="4" s="1"/>
  <c r="G8" i="4" s="1"/>
  <c r="D9" i="4"/>
  <c r="C8" i="4"/>
  <c r="N8" i="4" s="1"/>
  <c r="O8" i="4" s="1"/>
  <c r="E9" i="3"/>
  <c r="F9" i="3" s="1"/>
  <c r="G9" i="3" s="1"/>
  <c r="D10" i="3"/>
  <c r="C9" i="3"/>
  <c r="N9" i="3" s="1"/>
  <c r="O9" i="3" s="1"/>
  <c r="E8" i="1"/>
  <c r="F8" i="1" s="1"/>
  <c r="G8" i="1" s="1"/>
  <c r="C10" i="2"/>
  <c r="P9" i="2"/>
  <c r="I9" i="2"/>
  <c r="J9" i="2" s="1"/>
  <c r="I10" i="2"/>
  <c r="J10" i="2" s="1"/>
  <c r="L6" i="2"/>
  <c r="K7" i="2"/>
  <c r="C10" i="5" l="1"/>
  <c r="P9" i="5"/>
  <c r="Q9" i="5" s="1"/>
  <c r="D10" i="5"/>
  <c r="E9" i="5"/>
  <c r="F9" i="5" s="1"/>
  <c r="D10" i="1"/>
  <c r="P9" i="1"/>
  <c r="Q9" i="1" s="1"/>
  <c r="E9" i="4"/>
  <c r="F9" i="4" s="1"/>
  <c r="G9" i="4" s="1"/>
  <c r="D10" i="4"/>
  <c r="C9" i="4"/>
  <c r="N9" i="4" s="1"/>
  <c r="O9" i="4" s="1"/>
  <c r="E10" i="3"/>
  <c r="F10" i="3" s="1"/>
  <c r="G10" i="3" s="1"/>
  <c r="D11" i="3"/>
  <c r="C10" i="3"/>
  <c r="N10" i="3" s="1"/>
  <c r="O10" i="3" s="1"/>
  <c r="E9" i="1"/>
  <c r="F9" i="1" s="1"/>
  <c r="G9" i="1" s="1"/>
  <c r="C11" i="2"/>
  <c r="F11" i="2"/>
  <c r="H11" i="2" s="1"/>
  <c r="I11" i="2" s="1"/>
  <c r="J11" i="2" s="1"/>
  <c r="D11" i="2"/>
  <c r="P10" i="2"/>
  <c r="L7" i="2"/>
  <c r="K8" i="2"/>
  <c r="E10" i="5" l="1"/>
  <c r="F10" i="5" s="1"/>
  <c r="G10" i="5" s="1"/>
  <c r="D11" i="5"/>
  <c r="C11" i="5"/>
  <c r="P10" i="5"/>
  <c r="Q10" i="5" s="1"/>
  <c r="D11" i="1"/>
  <c r="P10" i="1"/>
  <c r="Q10" i="1" s="1"/>
  <c r="E10" i="4"/>
  <c r="F10" i="4" s="1"/>
  <c r="G10" i="4" s="1"/>
  <c r="D11" i="4"/>
  <c r="C10" i="4"/>
  <c r="N10" i="4" s="1"/>
  <c r="O10" i="4" s="1"/>
  <c r="E11" i="3"/>
  <c r="F11" i="3" s="1"/>
  <c r="G11" i="3" s="1"/>
  <c r="D12" i="3"/>
  <c r="C11" i="3"/>
  <c r="N11" i="3" s="1"/>
  <c r="O11" i="3" s="1"/>
  <c r="K9" i="2"/>
  <c r="L8" i="2"/>
  <c r="D12" i="2"/>
  <c r="C12" i="2"/>
  <c r="F12" i="2"/>
  <c r="H12" i="2" s="1"/>
  <c r="I12" i="2" s="1"/>
  <c r="J12" i="2" s="1"/>
  <c r="P11" i="2"/>
  <c r="C12" i="5" l="1"/>
  <c r="P11" i="5"/>
  <c r="Q11" i="5" s="1"/>
  <c r="D12" i="5"/>
  <c r="E11" i="5"/>
  <c r="F11" i="5" s="1"/>
  <c r="G11" i="5" s="1"/>
  <c r="D12" i="1"/>
  <c r="P11" i="1"/>
  <c r="Q11" i="1" s="1"/>
  <c r="D12" i="4"/>
  <c r="E11" i="4"/>
  <c r="F11" i="4" s="1"/>
  <c r="G11" i="4" s="1"/>
  <c r="C11" i="4"/>
  <c r="N11" i="4" s="1"/>
  <c r="O11" i="4" s="1"/>
  <c r="D13" i="3"/>
  <c r="C12" i="3"/>
  <c r="N12" i="3" s="1"/>
  <c r="O12" i="3" s="1"/>
  <c r="E12" i="3"/>
  <c r="F12" i="3" s="1"/>
  <c r="G12" i="3" s="1"/>
  <c r="E10" i="1"/>
  <c r="F10" i="1" s="1"/>
  <c r="G10" i="1" s="1"/>
  <c r="D13" i="2"/>
  <c r="C13" i="2"/>
  <c r="F13" i="2"/>
  <c r="H13" i="2" s="1"/>
  <c r="I13" i="2" s="1"/>
  <c r="J13" i="2" s="1"/>
  <c r="P12" i="2"/>
  <c r="L9" i="2"/>
  <c r="K10" i="2"/>
  <c r="E12" i="5" l="1"/>
  <c r="F12" i="5" s="1"/>
  <c r="G12" i="5" s="1"/>
  <c r="D13" i="5"/>
  <c r="C13" i="5"/>
  <c r="P12" i="5"/>
  <c r="Q12" i="5" s="1"/>
  <c r="D13" i="1"/>
  <c r="P12" i="1"/>
  <c r="Q12" i="1" s="1"/>
  <c r="D13" i="4"/>
  <c r="C12" i="4"/>
  <c r="N12" i="4" s="1"/>
  <c r="O12" i="4" s="1"/>
  <c r="E12" i="4"/>
  <c r="F12" i="4" s="1"/>
  <c r="G12" i="4" s="1"/>
  <c r="D14" i="3"/>
  <c r="C13" i="3"/>
  <c r="N13" i="3" s="1"/>
  <c r="O13" i="3" s="1"/>
  <c r="E13" i="3"/>
  <c r="F13" i="3" s="1"/>
  <c r="G13" i="3" s="1"/>
  <c r="E11" i="1"/>
  <c r="F11" i="1" s="1"/>
  <c r="G11" i="1" s="1"/>
  <c r="L10" i="2"/>
  <c r="K11" i="2"/>
  <c r="F14" i="2"/>
  <c r="H14" i="2" s="1"/>
  <c r="I14" i="2" s="1"/>
  <c r="J14" i="2" s="1"/>
  <c r="D14" i="2"/>
  <c r="C14" i="2"/>
  <c r="P13" i="2"/>
  <c r="C14" i="5" l="1"/>
  <c r="P13" i="5"/>
  <c r="Q13" i="5" s="1"/>
  <c r="D14" i="5"/>
  <c r="E13" i="5"/>
  <c r="F13" i="5" s="1"/>
  <c r="G13" i="5" s="1"/>
  <c r="D14" i="1"/>
  <c r="P13" i="1"/>
  <c r="Q13" i="1" s="1"/>
  <c r="D14" i="4"/>
  <c r="C13" i="4"/>
  <c r="N13" i="4" s="1"/>
  <c r="O13" i="4" s="1"/>
  <c r="E13" i="4"/>
  <c r="F13" i="4" s="1"/>
  <c r="G13" i="4" s="1"/>
  <c r="E14" i="3"/>
  <c r="F14" i="3" s="1"/>
  <c r="G14" i="3" s="1"/>
  <c r="D15" i="3"/>
  <c r="C14" i="3"/>
  <c r="N14" i="3" s="1"/>
  <c r="O14" i="3" s="1"/>
  <c r="K12" i="2"/>
  <c r="L11" i="2"/>
  <c r="C15" i="2"/>
  <c r="F15" i="2"/>
  <c r="H15" i="2" s="1"/>
  <c r="I15" i="2" s="1"/>
  <c r="J15" i="2" s="1"/>
  <c r="D15" i="2"/>
  <c r="P14" i="2"/>
  <c r="D15" i="5" l="1"/>
  <c r="E14" i="5"/>
  <c r="F14" i="5" s="1"/>
  <c r="G14" i="5" s="1"/>
  <c r="C15" i="5"/>
  <c r="P14" i="5"/>
  <c r="Q14" i="5" s="1"/>
  <c r="D15" i="1"/>
  <c r="P14" i="1"/>
  <c r="Q14" i="1" s="1"/>
  <c r="E14" i="4"/>
  <c r="F14" i="4" s="1"/>
  <c r="G14" i="4" s="1"/>
  <c r="D15" i="4"/>
  <c r="C14" i="4"/>
  <c r="N14" i="4" s="1"/>
  <c r="O14" i="4" s="1"/>
  <c r="E15" i="3"/>
  <c r="F15" i="3" s="1"/>
  <c r="G15" i="3" s="1"/>
  <c r="D16" i="3"/>
  <c r="C15" i="3"/>
  <c r="N15" i="3" s="1"/>
  <c r="O15" i="3" s="1"/>
  <c r="E12" i="1"/>
  <c r="F12" i="1" s="1"/>
  <c r="G12" i="1" s="1"/>
  <c r="K13" i="2"/>
  <c r="L12" i="2"/>
  <c r="C16" i="2"/>
  <c r="D16" i="2"/>
  <c r="F16" i="2"/>
  <c r="H16" i="2" s="1"/>
  <c r="I16" i="2" s="1"/>
  <c r="J16" i="2" s="1"/>
  <c r="P15" i="2"/>
  <c r="C16" i="5" l="1"/>
  <c r="P15" i="5"/>
  <c r="Q15" i="5" s="1"/>
  <c r="E15" i="5"/>
  <c r="F15" i="5" s="1"/>
  <c r="G15" i="5" s="1"/>
  <c r="D16" i="5"/>
  <c r="D16" i="1"/>
  <c r="P15" i="1"/>
  <c r="Q15" i="1" s="1"/>
  <c r="E15" i="4"/>
  <c r="F15" i="4" s="1"/>
  <c r="G15" i="4" s="1"/>
  <c r="D16" i="4"/>
  <c r="C15" i="4"/>
  <c r="N15" i="4" s="1"/>
  <c r="O15" i="4" s="1"/>
  <c r="E16" i="3"/>
  <c r="F16" i="3" s="1"/>
  <c r="G16" i="3" s="1"/>
  <c r="D17" i="3"/>
  <c r="C16" i="3"/>
  <c r="N16" i="3" s="1"/>
  <c r="O16" i="3" s="1"/>
  <c r="E13" i="1"/>
  <c r="F13" i="1" s="1"/>
  <c r="G13" i="1" s="1"/>
  <c r="D17" i="2"/>
  <c r="C17" i="2"/>
  <c r="F17" i="2"/>
  <c r="H17" i="2" s="1"/>
  <c r="I17" i="2" s="1"/>
  <c r="J17" i="2" s="1"/>
  <c r="P16" i="2"/>
  <c r="L13" i="2"/>
  <c r="K14" i="2"/>
  <c r="E16" i="5" l="1"/>
  <c r="F16" i="5" s="1"/>
  <c r="G16" i="5" s="1"/>
  <c r="D17" i="5"/>
  <c r="C17" i="5"/>
  <c r="P16" i="5"/>
  <c r="Q16" i="5" s="1"/>
  <c r="D17" i="1"/>
  <c r="P16" i="1"/>
  <c r="Q16" i="1" s="1"/>
  <c r="E16" i="4"/>
  <c r="F16" i="4" s="1"/>
  <c r="G16" i="4" s="1"/>
  <c r="D17" i="4"/>
  <c r="C16" i="4"/>
  <c r="N16" i="4" s="1"/>
  <c r="O16" i="4" s="1"/>
  <c r="E17" i="3"/>
  <c r="F17" i="3" s="1"/>
  <c r="G17" i="3" s="1"/>
  <c r="D18" i="3"/>
  <c r="C17" i="3"/>
  <c r="N17" i="3" s="1"/>
  <c r="O17" i="3" s="1"/>
  <c r="E14" i="1"/>
  <c r="F14" i="1" s="1"/>
  <c r="G14" i="1" s="1"/>
  <c r="F18" i="2"/>
  <c r="H18" i="2" s="1"/>
  <c r="I18" i="2" s="1"/>
  <c r="J18" i="2" s="1"/>
  <c r="D18" i="2"/>
  <c r="C18" i="2"/>
  <c r="P17" i="2"/>
  <c r="K15" i="2"/>
  <c r="L14" i="2"/>
  <c r="E17" i="5" l="1"/>
  <c r="F17" i="5" s="1"/>
  <c r="G17" i="5" s="1"/>
  <c r="D18" i="5"/>
  <c r="C18" i="5"/>
  <c r="P17" i="5"/>
  <c r="Q17" i="5" s="1"/>
  <c r="D18" i="1"/>
  <c r="P17" i="1"/>
  <c r="Q17" i="1" s="1"/>
  <c r="E17" i="4"/>
  <c r="F17" i="4" s="1"/>
  <c r="G17" i="4" s="1"/>
  <c r="D18" i="4"/>
  <c r="C17" i="4"/>
  <c r="N17" i="4" s="1"/>
  <c r="O17" i="4" s="1"/>
  <c r="E18" i="3"/>
  <c r="F18" i="3" s="1"/>
  <c r="G18" i="3" s="1"/>
  <c r="D19" i="3"/>
  <c r="C18" i="3"/>
  <c r="N18" i="3" s="1"/>
  <c r="O18" i="3" s="1"/>
  <c r="E15" i="1"/>
  <c r="F15" i="1" s="1"/>
  <c r="G15" i="1" s="1"/>
  <c r="F19" i="2"/>
  <c r="H19" i="2" s="1"/>
  <c r="I19" i="2" s="1"/>
  <c r="J19" i="2" s="1"/>
  <c r="C19" i="2"/>
  <c r="D19" i="2"/>
  <c r="P18" i="2"/>
  <c r="K16" i="2"/>
  <c r="L15" i="2"/>
  <c r="C19" i="5" l="1"/>
  <c r="P18" i="5"/>
  <c r="Q18" i="5" s="1"/>
  <c r="D19" i="5"/>
  <c r="E18" i="5"/>
  <c r="F18" i="5" s="1"/>
  <c r="G18" i="5" s="1"/>
  <c r="D19" i="1"/>
  <c r="P18" i="1"/>
  <c r="Q18" i="1" s="1"/>
  <c r="E18" i="4"/>
  <c r="F18" i="4" s="1"/>
  <c r="G18" i="4" s="1"/>
  <c r="D19" i="4"/>
  <c r="C18" i="4"/>
  <c r="N18" i="4" s="1"/>
  <c r="O18" i="4" s="1"/>
  <c r="E19" i="3"/>
  <c r="F19" i="3" s="1"/>
  <c r="G19" i="3" s="1"/>
  <c r="D20" i="3"/>
  <c r="C19" i="3"/>
  <c r="N19" i="3" s="1"/>
  <c r="O19" i="3" s="1"/>
  <c r="E16" i="1"/>
  <c r="F16" i="1" s="1"/>
  <c r="G16" i="1" s="1"/>
  <c r="K17" i="2"/>
  <c r="L16" i="2"/>
  <c r="D20" i="2"/>
  <c r="C20" i="2"/>
  <c r="F20" i="2"/>
  <c r="H20" i="2" s="1"/>
  <c r="I20" i="2" s="1"/>
  <c r="J20" i="2" s="1"/>
  <c r="P19" i="2"/>
  <c r="E19" i="5" l="1"/>
  <c r="F19" i="5" s="1"/>
  <c r="G19" i="5" s="1"/>
  <c r="D20" i="5"/>
  <c r="C20" i="5"/>
  <c r="P19" i="5"/>
  <c r="Q19" i="5" s="1"/>
  <c r="D20" i="1"/>
  <c r="P19" i="1"/>
  <c r="Q19" i="1" s="1"/>
  <c r="D20" i="4"/>
  <c r="C19" i="4"/>
  <c r="N19" i="4" s="1"/>
  <c r="O19" i="4" s="1"/>
  <c r="E19" i="4"/>
  <c r="F19" i="4" s="1"/>
  <c r="G19" i="4" s="1"/>
  <c r="D21" i="3"/>
  <c r="C20" i="3"/>
  <c r="N20" i="3" s="1"/>
  <c r="O20" i="3" s="1"/>
  <c r="E20" i="3"/>
  <c r="F20" i="3" s="1"/>
  <c r="G20" i="3" s="1"/>
  <c r="E17" i="1"/>
  <c r="F17" i="1" s="1"/>
  <c r="G17" i="1" s="1"/>
  <c r="L17" i="2"/>
  <c r="K18" i="2"/>
  <c r="D21" i="2"/>
  <c r="C21" i="2"/>
  <c r="F21" i="2"/>
  <c r="H21" i="2" s="1"/>
  <c r="I21" i="2" s="1"/>
  <c r="J21" i="2" s="1"/>
  <c r="P20" i="2"/>
  <c r="E20" i="5" l="1"/>
  <c r="F20" i="5" s="1"/>
  <c r="G20" i="5" s="1"/>
  <c r="D21" i="5"/>
  <c r="C21" i="5"/>
  <c r="P20" i="5"/>
  <c r="Q20" i="5" s="1"/>
  <c r="D21" i="1"/>
  <c r="P20" i="1"/>
  <c r="Q20" i="1" s="1"/>
  <c r="C20" i="4"/>
  <c r="N20" i="4" s="1"/>
  <c r="O20" i="4" s="1"/>
  <c r="E20" i="4"/>
  <c r="F20" i="4" s="1"/>
  <c r="G20" i="4" s="1"/>
  <c r="D22" i="3"/>
  <c r="C21" i="3"/>
  <c r="N21" i="3" s="1"/>
  <c r="O21" i="3" s="1"/>
  <c r="E21" i="3"/>
  <c r="F21" i="3" s="1"/>
  <c r="G21" i="3" s="1"/>
  <c r="E18" i="1"/>
  <c r="F18" i="1" s="1"/>
  <c r="G18" i="1" s="1"/>
  <c r="F22" i="2"/>
  <c r="H22" i="2" s="1"/>
  <c r="I22" i="2" s="1"/>
  <c r="J22" i="2" s="1"/>
  <c r="D22" i="2"/>
  <c r="C22" i="2"/>
  <c r="P21" i="2"/>
  <c r="L18" i="2"/>
  <c r="K19" i="2"/>
  <c r="C22" i="5" l="1"/>
  <c r="P21" i="5"/>
  <c r="Q21" i="5" s="1"/>
  <c r="D22" i="5"/>
  <c r="E21" i="5"/>
  <c r="F21" i="5" s="1"/>
  <c r="G21" i="5" s="1"/>
  <c r="D22" i="1"/>
  <c r="P21" i="1"/>
  <c r="Q21" i="1" s="1"/>
  <c r="E22" i="3"/>
  <c r="F22" i="3" s="1"/>
  <c r="G22" i="3" s="1"/>
  <c r="D23" i="3"/>
  <c r="C22" i="3"/>
  <c r="N22" i="3" s="1"/>
  <c r="O22" i="3" s="1"/>
  <c r="E19" i="1"/>
  <c r="F19" i="1" s="1"/>
  <c r="G19" i="1" s="1"/>
  <c r="K20" i="2"/>
  <c r="L19" i="2"/>
  <c r="C23" i="2"/>
  <c r="F23" i="2"/>
  <c r="H23" i="2" s="1"/>
  <c r="I23" i="2" s="1"/>
  <c r="J23" i="2" s="1"/>
  <c r="D23" i="2"/>
  <c r="P22" i="2"/>
  <c r="E22" i="5" l="1"/>
  <c r="F22" i="5" s="1"/>
  <c r="G22" i="5" s="1"/>
  <c r="D23" i="5"/>
  <c r="C23" i="5"/>
  <c r="P22" i="5"/>
  <c r="Q22" i="5" s="1"/>
  <c r="D23" i="1"/>
  <c r="P22" i="1"/>
  <c r="Q22" i="1" s="1"/>
  <c r="E23" i="3"/>
  <c r="F23" i="3" s="1"/>
  <c r="G23" i="3" s="1"/>
  <c r="D24" i="3"/>
  <c r="C23" i="3"/>
  <c r="N23" i="3" s="1"/>
  <c r="O23" i="3" s="1"/>
  <c r="E20" i="1"/>
  <c r="F20" i="1" s="1"/>
  <c r="G20" i="1" s="1"/>
  <c r="D24" i="2"/>
  <c r="F24" i="2"/>
  <c r="H24" i="2" s="1"/>
  <c r="I24" i="2" s="1"/>
  <c r="J24" i="2" s="1"/>
  <c r="C24" i="2"/>
  <c r="P23" i="2"/>
  <c r="K21" i="2"/>
  <c r="L20" i="2"/>
  <c r="C24" i="5" l="1"/>
  <c r="P23" i="5"/>
  <c r="Q23" i="5" s="1"/>
  <c r="E23" i="5"/>
  <c r="F23" i="5" s="1"/>
  <c r="G23" i="5" s="1"/>
  <c r="D24" i="5"/>
  <c r="D24" i="1"/>
  <c r="P23" i="1"/>
  <c r="Q23" i="1" s="1"/>
  <c r="E24" i="3"/>
  <c r="F24" i="3" s="1"/>
  <c r="G24" i="3" s="1"/>
  <c r="D25" i="3"/>
  <c r="C24" i="3"/>
  <c r="N24" i="3" s="1"/>
  <c r="O24" i="3" s="1"/>
  <c r="E21" i="1"/>
  <c r="F21" i="1" s="1"/>
  <c r="G21" i="1" s="1"/>
  <c r="D25" i="2"/>
  <c r="C25" i="2"/>
  <c r="F25" i="2"/>
  <c r="H25" i="2" s="1"/>
  <c r="I25" i="2" s="1"/>
  <c r="J25" i="2" s="1"/>
  <c r="P24" i="2"/>
  <c r="L21" i="2"/>
  <c r="K22" i="2"/>
  <c r="E24" i="5" l="1"/>
  <c r="F24" i="5" s="1"/>
  <c r="G24" i="5" s="1"/>
  <c r="D25" i="5"/>
  <c r="E25" i="5" s="1"/>
  <c r="F25" i="5" s="1"/>
  <c r="C25" i="5"/>
  <c r="P25" i="5" s="1"/>
  <c r="Q25" i="5" s="1"/>
  <c r="P24" i="5"/>
  <c r="Q24" i="5" s="1"/>
  <c r="D25" i="1"/>
  <c r="P24" i="1"/>
  <c r="Q24" i="1" s="1"/>
  <c r="E25" i="3"/>
  <c r="F25" i="3" s="1"/>
  <c r="G25" i="3" s="1"/>
  <c r="D26" i="3"/>
  <c r="C25" i="3"/>
  <c r="N25" i="3" s="1"/>
  <c r="O25" i="3" s="1"/>
  <c r="E22" i="1"/>
  <c r="F22" i="1" s="1"/>
  <c r="G22" i="1" s="1"/>
  <c r="F26" i="2"/>
  <c r="H26" i="2" s="1"/>
  <c r="I26" i="2" s="1"/>
  <c r="J26" i="2" s="1"/>
  <c r="D26" i="2"/>
  <c r="C26" i="2"/>
  <c r="P25" i="2"/>
  <c r="L22" i="2"/>
  <c r="K23" i="2"/>
  <c r="G25" i="5" l="1"/>
  <c r="D26" i="1"/>
  <c r="P25" i="1"/>
  <c r="Q25" i="1" s="1"/>
  <c r="E26" i="3"/>
  <c r="F26" i="3" s="1"/>
  <c r="G26" i="3" s="1"/>
  <c r="D27" i="3"/>
  <c r="C26" i="3"/>
  <c r="N26" i="3" s="1"/>
  <c r="O26" i="3" s="1"/>
  <c r="E23" i="1"/>
  <c r="F23" i="1" s="1"/>
  <c r="G23" i="1" s="1"/>
  <c r="K24" i="2"/>
  <c r="L23" i="2"/>
  <c r="F27" i="2"/>
  <c r="H27" i="2" s="1"/>
  <c r="I27" i="2" s="1"/>
  <c r="J27" i="2" s="1"/>
  <c r="D27" i="2"/>
  <c r="C27" i="2"/>
  <c r="P26" i="2"/>
  <c r="D27" i="1" l="1"/>
  <c r="P26" i="1"/>
  <c r="Q26" i="1" s="1"/>
  <c r="E27" i="3"/>
  <c r="F27" i="3" s="1"/>
  <c r="G27" i="3" s="1"/>
  <c r="D28" i="3"/>
  <c r="C27" i="3"/>
  <c r="N27" i="3" s="1"/>
  <c r="O27" i="3" s="1"/>
  <c r="E24" i="1"/>
  <c r="F24" i="1" s="1"/>
  <c r="G24" i="1" s="1"/>
  <c r="L24" i="2"/>
  <c r="K25" i="2"/>
  <c r="D28" i="2"/>
  <c r="F28" i="2"/>
  <c r="H28" i="2" s="1"/>
  <c r="I28" i="2" s="1"/>
  <c r="J28" i="2" s="1"/>
  <c r="C28" i="2"/>
  <c r="P27" i="2"/>
  <c r="D28" i="1" l="1"/>
  <c r="P27" i="1"/>
  <c r="Q27" i="1" s="1"/>
  <c r="D29" i="3"/>
  <c r="C28" i="3"/>
  <c r="N28" i="3" s="1"/>
  <c r="O28" i="3" s="1"/>
  <c r="E28" i="3"/>
  <c r="F28" i="3" s="1"/>
  <c r="G28" i="3" s="1"/>
  <c r="E25" i="1"/>
  <c r="F25" i="1" s="1"/>
  <c r="G25" i="1" s="1"/>
  <c r="D29" i="2"/>
  <c r="F29" i="2"/>
  <c r="H29" i="2" s="1"/>
  <c r="I29" i="2" s="1"/>
  <c r="J29" i="2" s="1"/>
  <c r="C29" i="2"/>
  <c r="P28" i="2"/>
  <c r="L25" i="2"/>
  <c r="K26" i="2"/>
  <c r="D29" i="1" l="1"/>
  <c r="P28" i="1"/>
  <c r="Q28" i="1" s="1"/>
  <c r="D30" i="3"/>
  <c r="C29" i="3"/>
  <c r="N29" i="3" s="1"/>
  <c r="O29" i="3" s="1"/>
  <c r="E29" i="3"/>
  <c r="F29" i="3" s="1"/>
  <c r="G29" i="3" s="1"/>
  <c r="E26" i="1"/>
  <c r="F26" i="1" s="1"/>
  <c r="G26" i="1" s="1"/>
  <c r="L26" i="2"/>
  <c r="K27" i="2"/>
  <c r="F30" i="2"/>
  <c r="H30" i="2" s="1"/>
  <c r="I30" i="2" s="1"/>
  <c r="J30" i="2" s="1"/>
  <c r="D30" i="2"/>
  <c r="C30" i="2"/>
  <c r="P29" i="2"/>
  <c r="D30" i="1" l="1"/>
  <c r="P29" i="1"/>
  <c r="Q29" i="1" s="1"/>
  <c r="E30" i="3"/>
  <c r="F30" i="3" s="1"/>
  <c r="G30" i="3" s="1"/>
  <c r="D31" i="3"/>
  <c r="C30" i="3"/>
  <c r="N30" i="3" s="1"/>
  <c r="O30" i="3" s="1"/>
  <c r="E27" i="1"/>
  <c r="F27" i="1" s="1"/>
  <c r="G27" i="1" s="1"/>
  <c r="F31" i="2"/>
  <c r="H31" i="2" s="1"/>
  <c r="I31" i="2" s="1"/>
  <c r="J31" i="2" s="1"/>
  <c r="C31" i="2"/>
  <c r="D31" i="2"/>
  <c r="P30" i="2"/>
  <c r="K28" i="2"/>
  <c r="L27" i="2"/>
  <c r="D31" i="1" l="1"/>
  <c r="P30" i="1"/>
  <c r="Q30" i="1" s="1"/>
  <c r="E31" i="3"/>
  <c r="F31" i="3" s="1"/>
  <c r="G31" i="3" s="1"/>
  <c r="D32" i="3"/>
  <c r="C31" i="3"/>
  <c r="N31" i="3" s="1"/>
  <c r="O31" i="3" s="1"/>
  <c r="E28" i="1"/>
  <c r="F28" i="1" s="1"/>
  <c r="G28" i="1" s="1"/>
  <c r="K29" i="2"/>
  <c r="L28" i="2"/>
  <c r="D32" i="2"/>
  <c r="F32" i="2"/>
  <c r="H32" i="2" s="1"/>
  <c r="I32" i="2" s="1"/>
  <c r="J32" i="2" s="1"/>
  <c r="C32" i="2"/>
  <c r="P31" i="2"/>
  <c r="D32" i="1" l="1"/>
  <c r="P31" i="1"/>
  <c r="Q31" i="1" s="1"/>
  <c r="E32" i="3"/>
  <c r="F32" i="3" s="1"/>
  <c r="G32" i="3" s="1"/>
  <c r="D33" i="3"/>
  <c r="C32" i="3"/>
  <c r="N32" i="3" s="1"/>
  <c r="O32" i="3" s="1"/>
  <c r="E29" i="1"/>
  <c r="F29" i="1" s="1"/>
  <c r="G29" i="1" s="1"/>
  <c r="D33" i="2"/>
  <c r="F33" i="2"/>
  <c r="H33" i="2" s="1"/>
  <c r="I33" i="2" s="1"/>
  <c r="J33" i="2" s="1"/>
  <c r="C33" i="2"/>
  <c r="P32" i="2"/>
  <c r="L29" i="2"/>
  <c r="K30" i="2"/>
  <c r="D33" i="1" l="1"/>
  <c r="P32" i="1"/>
  <c r="Q32" i="1" s="1"/>
  <c r="E33" i="3"/>
  <c r="F33" i="3" s="1"/>
  <c r="G33" i="3" s="1"/>
  <c r="D34" i="3"/>
  <c r="C33" i="3"/>
  <c r="N33" i="3" s="1"/>
  <c r="O33" i="3" s="1"/>
  <c r="E30" i="1"/>
  <c r="F30" i="1" s="1"/>
  <c r="G30" i="1" s="1"/>
  <c r="F34" i="2"/>
  <c r="H34" i="2" s="1"/>
  <c r="I34" i="2" s="1"/>
  <c r="J34" i="2" s="1"/>
  <c r="D34" i="2"/>
  <c r="C34" i="2"/>
  <c r="P34" i="2" s="1"/>
  <c r="P33" i="2"/>
  <c r="K31" i="2"/>
  <c r="L30" i="2"/>
  <c r="D34" i="1" l="1"/>
  <c r="P34" i="1" s="1"/>
  <c r="Q34" i="1" s="1"/>
  <c r="P33" i="1"/>
  <c r="Q33" i="1" s="1"/>
  <c r="E34" i="3"/>
  <c r="F34" i="3" s="1"/>
  <c r="G34" i="3" s="1"/>
  <c r="C34" i="3"/>
  <c r="N34" i="3" s="1"/>
  <c r="O34" i="3" s="1"/>
  <c r="E31" i="1"/>
  <c r="F31" i="1" s="1"/>
  <c r="G31" i="1" s="1"/>
  <c r="K32" i="2"/>
  <c r="L31" i="2"/>
  <c r="E32" i="1" l="1"/>
  <c r="F32" i="1" s="1"/>
  <c r="G32" i="1" s="1"/>
  <c r="K33" i="2"/>
  <c r="L32" i="2"/>
  <c r="E33" i="1" l="1"/>
  <c r="F33" i="1" s="1"/>
  <c r="G33" i="1" s="1"/>
  <c r="L33" i="2"/>
  <c r="K34" i="2"/>
  <c r="L34" i="2" s="1"/>
  <c r="E34" i="1" l="1"/>
  <c r="F34" i="1" s="1"/>
  <c r="G34" i="1" s="1"/>
</calcChain>
</file>

<file path=xl/sharedStrings.xml><?xml version="1.0" encoding="utf-8"?>
<sst xmlns="http://schemas.openxmlformats.org/spreadsheetml/2006/main" count="104" uniqueCount="21">
  <si>
    <t>load</t>
  </si>
  <si>
    <t>burndown</t>
  </si>
  <si>
    <t>std hrs</t>
  </si>
  <si>
    <t>k</t>
  </si>
  <si>
    <t>n</t>
  </si>
  <si>
    <t>p</t>
  </si>
  <si>
    <t>B4+C3</t>
  </si>
  <si>
    <t>A4</t>
  </si>
  <si>
    <t>(B4+C3)</t>
  </si>
  <si>
    <t>40*5*.68</t>
  </si>
  <si>
    <t>cume sum k</t>
  </si>
  <si>
    <t>cume sum n</t>
  </si>
  <si>
    <t>diff of cume</t>
  </si>
  <si>
    <t>min of diff</t>
  </si>
  <si>
    <t>offset</t>
  </si>
  <si>
    <t>total hrs</t>
  </si>
  <si>
    <t>cume sum total</t>
  </si>
  <si>
    <t>dif total cume</t>
  </si>
  <si>
    <t>DIFF MIN</t>
  </si>
  <si>
    <t>BURNDOWN OF TOT</t>
  </si>
  <si>
    <t>burn of total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</si>
</sst>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00000_);_(* \(#,##0.000000000\);_(* &quot;-&quot;??_);_(@_)"/>
    <numFmt numFmtId="165" formatCode="_(* #,##0.00000000000_);_(* \(#,##0.00000000000\);_(* &quot;-&quot;??_);_(@_)"/>
    <numFmt numFmtId="166" formatCode="_(* #,##0.0000000000000000000000_);_(* \(#,##0.0000000000000000000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right"/>
    </xf>
    <xf numFmtId="43" fontId="0" fillId="2" borderId="0" xfId="1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3" fontId="0" fillId="2" borderId="0" xfId="0" applyNumberFormat="1" applyFill="1"/>
    <xf numFmtId="166" fontId="0" fillId="2" borderId="0" xfId="0" applyNumberFormat="1" applyFill="1"/>
    <xf numFmtId="0" fontId="0" fillId="2" borderId="0" xfId="0" applyFill="1"/>
    <xf numFmtId="43" fontId="0" fillId="3" borderId="0" xfId="1" applyFont="1" applyFill="1"/>
    <xf numFmtId="43" fontId="0" fillId="3" borderId="0" xfId="0" applyNumberFormat="1" applyFill="1"/>
    <xf numFmtId="166" fontId="0" fillId="3" borderId="0" xfId="0" applyNumberFormat="1" applyFill="1"/>
    <xf numFmtId="0" fontId="0" fillId="3" borderId="0" xfId="0" applyFill="1"/>
    <xf numFmtId="43" fontId="0" fillId="4" borderId="0" xfId="1" applyFont="1" applyFill="1"/>
    <xf numFmtId="43" fontId="0" fillId="5" borderId="0" xfId="1" applyFont="1" applyFill="1"/>
    <xf numFmtId="2" fontId="0" fillId="0" borderId="0" xfId="0" applyNumberFormat="1"/>
    <xf numFmtId="43" fontId="0" fillId="6" borderId="0" xfId="1" applyFont="1" applyFill="1"/>
    <xf numFmtId="43" fontId="0" fillId="6" borderId="0" xfId="0" applyNumberFormat="1" applyFill="1"/>
    <xf numFmtId="2" fontId="0" fillId="6" borderId="0" xfId="0" applyNumberFormat="1" applyFill="1"/>
    <xf numFmtId="0" fontId="0" fillId="6" borderId="0" xfId="0" applyFill="1"/>
    <xf numFmtId="2" fontId="0" fillId="7" borderId="0" xfId="0" applyNumberFormat="1" applyFill="1"/>
    <xf numFmtId="43" fontId="0" fillId="5" borderId="0" xfId="0" applyNumberFormat="1" applyFill="1"/>
    <xf numFmtId="0" fontId="0" fillId="8" borderId="0" xfId="0" applyFill="1"/>
    <xf numFmtId="43" fontId="0" fillId="8" borderId="0" xfId="0" applyNumberFormat="1" applyFill="1"/>
    <xf numFmtId="43" fontId="0" fillId="0" borderId="0" xfId="1" applyFont="1" applyFill="1"/>
    <xf numFmtId="43" fontId="0" fillId="7" borderId="0" xfId="1" applyFont="1" applyFill="1"/>
    <xf numFmtId="43" fontId="0" fillId="7" borderId="0" xfId="0" applyNumberFormat="1" applyFill="1"/>
    <xf numFmtId="43" fontId="0" fillId="9" borderId="0" xfId="0" applyNumberFormat="1" applyFill="1"/>
  </cellXfs>
  <cellStyles count="2">
    <cellStyle name="Comma" xfId="1" builtinId="3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C5A0-630A-465C-9480-B34DE463DC1C}">
  <dimension ref="A1:Y34"/>
  <sheetViews>
    <sheetView tabSelected="1" workbookViewId="0">
      <selection activeCell="A5" sqref="A5:A12"/>
    </sheetView>
  </sheetViews>
  <sheetFormatPr defaultRowHeight="15" x14ac:dyDescent="0.25"/>
  <cols>
    <col min="1" max="1" width="10.28515625" bestFit="1" customWidth="1"/>
    <col min="2" max="4" width="9.5703125" bestFit="1" customWidth="1"/>
    <col min="5" max="6" width="9.5703125" customWidth="1"/>
    <col min="7" max="7" width="15.140625" customWidth="1"/>
    <col min="8" max="8" width="11.42578125" bestFit="1" customWidth="1"/>
    <col min="9" max="9" width="11.5703125" bestFit="1" customWidth="1"/>
    <col min="10" max="10" width="11.7109375" bestFit="1" customWidth="1"/>
    <col min="12" max="12" width="9.5703125" bestFit="1" customWidth="1"/>
    <col min="14" max="14" width="9.5703125" bestFit="1" customWidth="1"/>
    <col min="20" max="20" width="14.7109375" bestFit="1" customWidth="1"/>
    <col min="21" max="21" width="13.42578125" bestFit="1" customWidth="1"/>
    <col min="22" max="22" width="21.42578125" bestFit="1" customWidth="1"/>
    <col min="23" max="23" width="12" customWidth="1"/>
    <col min="25" max="25" width="19" bestFit="1" customWidth="1"/>
  </cols>
  <sheetData>
    <row r="1" spans="1:25" x14ac:dyDescent="0.25">
      <c r="A1" t="s">
        <v>3</v>
      </c>
      <c r="B1" t="s">
        <v>4</v>
      </c>
      <c r="C1" t="s">
        <v>5</v>
      </c>
    </row>
    <row r="2" spans="1:25" x14ac:dyDescent="0.25">
      <c r="A2" t="s">
        <v>2</v>
      </c>
      <c r="B2" t="s">
        <v>0</v>
      </c>
      <c r="C2" t="s">
        <v>1</v>
      </c>
      <c r="R2" t="s">
        <v>15</v>
      </c>
      <c r="T2" t="s">
        <v>16</v>
      </c>
      <c r="U2" t="s">
        <v>17</v>
      </c>
      <c r="V2" t="s">
        <v>20</v>
      </c>
      <c r="X2" t="s">
        <v>18</v>
      </c>
      <c r="Y2" t="s">
        <v>19</v>
      </c>
    </row>
    <row r="3" spans="1:25" x14ac:dyDescent="0.25">
      <c r="A3" t="s">
        <v>9</v>
      </c>
      <c r="E3" s="3" t="s">
        <v>6</v>
      </c>
    </row>
    <row r="4" spans="1:25" x14ac:dyDescent="0.25">
      <c r="A4" s="1">
        <v>0</v>
      </c>
      <c r="B4" s="1">
        <v>0</v>
      </c>
      <c r="C4" s="4">
        <f>IF((B4+C3)&gt;A4,(B4+C3)-A4,0)</f>
        <v>0</v>
      </c>
      <c r="D4" s="2">
        <f>C3</f>
        <v>0</v>
      </c>
      <c r="E4" s="2">
        <f>B4+C3</f>
        <v>0</v>
      </c>
      <c r="F4" s="2">
        <f>E4-A4</f>
        <v>0</v>
      </c>
      <c r="H4" s="24" t="s">
        <v>10</v>
      </c>
      <c r="I4" s="24" t="s">
        <v>11</v>
      </c>
      <c r="J4" s="24" t="s">
        <v>12</v>
      </c>
      <c r="P4" s="24" t="s">
        <v>13</v>
      </c>
      <c r="V4">
        <f>IF((B4+C3)&gt;T4,(B4+C3)-T4,0)</f>
        <v>0</v>
      </c>
      <c r="W4">
        <f>V3</f>
        <v>0</v>
      </c>
    </row>
    <row r="5" spans="1:25" x14ac:dyDescent="0.25">
      <c r="A5" s="1">
        <v>136</v>
      </c>
      <c r="B5" s="1">
        <v>194.86</v>
      </c>
      <c r="C5" s="4">
        <f>IF((B5+D5)&gt;A5,(B5+D5)-A5,0)</f>
        <v>58.860000000000014</v>
      </c>
      <c r="D5" s="2">
        <f t="shared" ref="D5" si="0">C4</f>
        <v>0</v>
      </c>
      <c r="E5" s="2">
        <f>B5+D5</f>
        <v>194.86</v>
      </c>
      <c r="F5" s="2">
        <f t="shared" ref="F5:F20" si="1">E5-A5</f>
        <v>58.860000000000014</v>
      </c>
      <c r="G5" s="2">
        <f>F5-F4</f>
        <v>58.860000000000014</v>
      </c>
      <c r="H5" s="25">
        <f>SUM($A$5:A5)</f>
        <v>136</v>
      </c>
      <c r="I5" s="25">
        <f>SUM($B$5:B5)</f>
        <v>194.86</v>
      </c>
      <c r="J5" s="25">
        <f>I5-H5</f>
        <v>58.860000000000014</v>
      </c>
      <c r="K5" s="17">
        <f>IF(J5&lt;0,-J5,0)</f>
        <v>0</v>
      </c>
      <c r="L5" s="2">
        <f>I5+K5</f>
        <v>194.86</v>
      </c>
      <c r="M5" s="2">
        <f>L5-H5</f>
        <v>58.860000000000014</v>
      </c>
      <c r="N5" s="19">
        <f t="shared" ref="N5:N11" si="2">C5+H5</f>
        <v>194.86</v>
      </c>
      <c r="O5" s="19">
        <f t="shared" ref="O5:O11" si="3">N5-I5</f>
        <v>0</v>
      </c>
      <c r="P5" s="25">
        <f>-MIN($J$5:J5,0)</f>
        <v>0</v>
      </c>
      <c r="Q5" s="8">
        <f>SUM(I5,P5)-H5</f>
        <v>58.860000000000014</v>
      </c>
      <c r="R5">
        <v>170</v>
      </c>
      <c r="T5">
        <f>SUM($R$5:R5)</f>
        <v>170</v>
      </c>
      <c r="U5" s="2">
        <f>I5-T5</f>
        <v>24.860000000000014</v>
      </c>
      <c r="V5">
        <f>IF((B5+W5)&gt;R5,(B5+W5)-R5,0)</f>
        <v>24.860000000000014</v>
      </c>
      <c r="W5">
        <f>V4</f>
        <v>0</v>
      </c>
      <c r="X5" s="2">
        <f>-MIN($U$5:U5,0)</f>
        <v>0</v>
      </c>
      <c r="Y5" s="2">
        <f>SUM(I5,X5)-T5</f>
        <v>24.860000000000014</v>
      </c>
    </row>
    <row r="6" spans="1:25" x14ac:dyDescent="0.25">
      <c r="A6" s="1">
        <v>136</v>
      </c>
      <c r="B6" s="1">
        <v>113.35</v>
      </c>
      <c r="C6" s="4">
        <f t="shared" ref="C6:C20" si="4">IF((B6+D6)&gt;A6,(B6+D6)-A6,0)</f>
        <v>36.210000000000008</v>
      </c>
      <c r="D6" s="2">
        <f>IF((B5+D5)&gt;A5,(B5+D5)-A5,0)</f>
        <v>58.860000000000014</v>
      </c>
      <c r="E6" s="2">
        <f t="shared" ref="E6:E20" si="5">B6+D6</f>
        <v>172.21</v>
      </c>
      <c r="F6" s="2">
        <f t="shared" si="1"/>
        <v>36.210000000000008</v>
      </c>
      <c r="G6" s="2">
        <f t="shared" ref="G6:G20" si="6">F6-F5</f>
        <v>-22.650000000000006</v>
      </c>
      <c r="H6" s="25">
        <f>SUM($A$5:A6)</f>
        <v>272</v>
      </c>
      <c r="I6" s="25">
        <f>SUM($B$5:B6)</f>
        <v>308.21000000000004</v>
      </c>
      <c r="J6" s="25">
        <f t="shared" ref="J6:J20" si="7">I6-H6</f>
        <v>36.210000000000036</v>
      </c>
      <c r="K6" s="17">
        <f t="shared" ref="K6:K20" si="8">IF(J6&lt;0,-J6,0)</f>
        <v>0</v>
      </c>
      <c r="L6" s="2">
        <f t="shared" ref="L6:L20" si="9">I6+K6</f>
        <v>308.21000000000004</v>
      </c>
      <c r="M6" s="2">
        <f t="shared" ref="M6:M20" si="10">L6-H6</f>
        <v>36.210000000000036</v>
      </c>
      <c r="N6" s="19">
        <f t="shared" si="2"/>
        <v>308.21000000000004</v>
      </c>
      <c r="O6" s="19">
        <f t="shared" si="3"/>
        <v>0</v>
      </c>
      <c r="P6" s="25">
        <f>-MIN($J$5:J6,0)</f>
        <v>0</v>
      </c>
      <c r="Q6" s="8">
        <f t="shared" ref="Q6:Q20" si="11">SUM(I6,P6)-H6</f>
        <v>36.210000000000036</v>
      </c>
      <c r="R6">
        <v>170</v>
      </c>
      <c r="T6">
        <f>SUM($R$5:R6)</f>
        <v>340</v>
      </c>
      <c r="U6" s="2">
        <f t="shared" ref="U6:U20" si="12">I6-T6</f>
        <v>-31.789999999999964</v>
      </c>
      <c r="V6">
        <f t="shared" ref="V6:V20" si="13">IF((B6+W6)&gt;R6,(B6+W6)-R6,0)</f>
        <v>0</v>
      </c>
      <c r="W6">
        <f>IF((B5+W5)&gt;R5,(B5+W5)-R5,0)</f>
        <v>24.860000000000014</v>
      </c>
      <c r="X6" s="2">
        <f>-MIN($U$5:U6,0)</f>
        <v>31.789999999999964</v>
      </c>
      <c r="Y6" s="2">
        <f t="shared" ref="Y6:Y20" si="14">SUM(I6,X6)-T6</f>
        <v>0</v>
      </c>
    </row>
    <row r="7" spans="1:25" x14ac:dyDescent="0.25">
      <c r="A7" s="1">
        <v>136</v>
      </c>
      <c r="B7" s="1">
        <v>175.43</v>
      </c>
      <c r="C7" s="4">
        <f t="shared" si="4"/>
        <v>75.640000000000015</v>
      </c>
      <c r="D7" s="2">
        <f t="shared" ref="D7:D20" si="15">IF((B6+D6)&gt;A6,(B6+D6)-A6,0)</f>
        <v>36.210000000000008</v>
      </c>
      <c r="E7" s="2">
        <f t="shared" si="5"/>
        <v>211.64000000000001</v>
      </c>
      <c r="F7" s="2">
        <f t="shared" si="1"/>
        <v>75.640000000000015</v>
      </c>
      <c r="G7" s="2">
        <f t="shared" si="6"/>
        <v>39.430000000000007</v>
      </c>
      <c r="H7" s="25">
        <f>SUM($A$5:A7)</f>
        <v>408</v>
      </c>
      <c r="I7" s="25">
        <f>SUM($B$5:B7)</f>
        <v>483.64000000000004</v>
      </c>
      <c r="J7" s="25">
        <f t="shared" si="7"/>
        <v>75.640000000000043</v>
      </c>
      <c r="K7" s="17">
        <f t="shared" si="8"/>
        <v>0</v>
      </c>
      <c r="L7" s="2">
        <f t="shared" si="9"/>
        <v>483.64000000000004</v>
      </c>
      <c r="M7" s="2">
        <f t="shared" si="10"/>
        <v>75.640000000000043</v>
      </c>
      <c r="N7" s="19">
        <f t="shared" si="2"/>
        <v>483.64</v>
      </c>
      <c r="O7" s="19">
        <f t="shared" si="3"/>
        <v>0</v>
      </c>
      <c r="P7" s="25">
        <f>-MIN($J$5:J7,0)</f>
        <v>0</v>
      </c>
      <c r="Q7" s="8">
        <f t="shared" si="11"/>
        <v>75.640000000000043</v>
      </c>
      <c r="R7">
        <v>170</v>
      </c>
      <c r="T7">
        <f>SUM($R$5:R7)</f>
        <v>510</v>
      </c>
      <c r="U7" s="2">
        <f t="shared" si="12"/>
        <v>-26.359999999999957</v>
      </c>
      <c r="V7">
        <f t="shared" si="13"/>
        <v>5.4300000000000068</v>
      </c>
      <c r="W7">
        <f t="shared" ref="W7:W20" si="16">IF((B6+W6)&gt;R6,(B6+W6)-R6,0)</f>
        <v>0</v>
      </c>
      <c r="X7" s="2">
        <f>-MIN($U$5:U7,0)</f>
        <v>31.789999999999964</v>
      </c>
      <c r="Y7" s="2">
        <f t="shared" si="14"/>
        <v>5.4300000000000637</v>
      </c>
    </row>
    <row r="8" spans="1:25" x14ac:dyDescent="0.25">
      <c r="A8" s="1">
        <v>136</v>
      </c>
      <c r="B8" s="1">
        <v>41.07</v>
      </c>
      <c r="C8" s="16">
        <f t="shared" si="4"/>
        <v>0</v>
      </c>
      <c r="D8" s="2">
        <f t="shared" si="15"/>
        <v>75.640000000000015</v>
      </c>
      <c r="E8" s="2">
        <f t="shared" si="5"/>
        <v>116.71000000000001</v>
      </c>
      <c r="F8" s="2">
        <f t="shared" si="1"/>
        <v>-19.289999999999992</v>
      </c>
      <c r="G8" s="2">
        <f t="shared" si="6"/>
        <v>-94.93</v>
      </c>
      <c r="H8" s="25">
        <f>SUM($A$5:A8)</f>
        <v>544</v>
      </c>
      <c r="I8" s="25">
        <f>SUM($B$5:B8)</f>
        <v>524.71</v>
      </c>
      <c r="J8" s="25">
        <f t="shared" si="7"/>
        <v>-19.289999999999964</v>
      </c>
      <c r="K8" s="17">
        <f t="shared" si="8"/>
        <v>19.289999999999964</v>
      </c>
      <c r="L8" s="2">
        <f t="shared" si="9"/>
        <v>544</v>
      </c>
      <c r="M8" s="2">
        <f t="shared" si="10"/>
        <v>0</v>
      </c>
      <c r="N8" s="19">
        <f t="shared" si="2"/>
        <v>544</v>
      </c>
      <c r="O8" s="19">
        <f t="shared" si="3"/>
        <v>19.289999999999964</v>
      </c>
      <c r="P8" s="25">
        <f>-MIN($J$5:J8,0)</f>
        <v>19.289999999999964</v>
      </c>
      <c r="Q8" s="23">
        <f t="shared" si="11"/>
        <v>0</v>
      </c>
      <c r="R8">
        <v>170</v>
      </c>
      <c r="T8">
        <f>SUM($R$5:R8)</f>
        <v>680</v>
      </c>
      <c r="U8" s="2">
        <f t="shared" si="12"/>
        <v>-155.28999999999996</v>
      </c>
      <c r="V8">
        <f t="shared" si="13"/>
        <v>0</v>
      </c>
      <c r="W8">
        <f t="shared" si="16"/>
        <v>5.4300000000000068</v>
      </c>
      <c r="X8" s="2">
        <f>-MIN($U$5:U8,0)</f>
        <v>155.28999999999996</v>
      </c>
      <c r="Y8" s="2">
        <f t="shared" si="14"/>
        <v>0</v>
      </c>
    </row>
    <row r="9" spans="1:25" s="10" customFormat="1" x14ac:dyDescent="0.25">
      <c r="A9" s="26">
        <v>136</v>
      </c>
      <c r="B9" s="26">
        <v>198.22</v>
      </c>
      <c r="C9" s="4">
        <f t="shared" si="4"/>
        <v>62.22</v>
      </c>
      <c r="D9" s="2">
        <f t="shared" si="15"/>
        <v>0</v>
      </c>
      <c r="E9" s="2">
        <f t="shared" si="5"/>
        <v>198.22</v>
      </c>
      <c r="F9" s="2">
        <f t="shared" si="1"/>
        <v>62.22</v>
      </c>
      <c r="G9" s="2">
        <f t="shared" si="6"/>
        <v>81.509999999999991</v>
      </c>
      <c r="H9" s="25">
        <f>SUM($A$5:A9)</f>
        <v>680</v>
      </c>
      <c r="I9" s="25">
        <f>SUM($B$5:B9)</f>
        <v>722.93000000000006</v>
      </c>
      <c r="J9" s="25">
        <f t="shared" si="7"/>
        <v>42.930000000000064</v>
      </c>
      <c r="K9" s="22">
        <f t="shared" si="8"/>
        <v>0</v>
      </c>
      <c r="L9" s="2">
        <f t="shared" si="9"/>
        <v>722.93000000000006</v>
      </c>
      <c r="M9" s="2">
        <f t="shared" si="10"/>
        <v>42.930000000000064</v>
      </c>
      <c r="N9" s="19">
        <f t="shared" si="2"/>
        <v>742.22</v>
      </c>
      <c r="O9" s="19">
        <f t="shared" si="3"/>
        <v>19.289999999999964</v>
      </c>
      <c r="P9" s="25">
        <f>-MIN($J$5:J9,0)</f>
        <v>19.289999999999964</v>
      </c>
      <c r="Q9" s="8">
        <f t="shared" si="11"/>
        <v>62.220000000000027</v>
      </c>
      <c r="R9">
        <v>170</v>
      </c>
      <c r="T9">
        <f>SUM($R$5:R9)</f>
        <v>850</v>
      </c>
      <c r="U9" s="2">
        <f t="shared" si="12"/>
        <v>-127.06999999999994</v>
      </c>
      <c r="V9">
        <f t="shared" si="13"/>
        <v>28.22</v>
      </c>
      <c r="W9">
        <f t="shared" si="16"/>
        <v>0</v>
      </c>
      <c r="X9" s="2">
        <f>-MIN($U$5:U9,0)</f>
        <v>155.28999999999996</v>
      </c>
      <c r="Y9" s="2">
        <f t="shared" si="14"/>
        <v>28.220000000000027</v>
      </c>
    </row>
    <row r="10" spans="1:25" s="10" customFormat="1" x14ac:dyDescent="0.25">
      <c r="A10" s="26">
        <v>136</v>
      </c>
      <c r="B10" s="26">
        <v>347.31</v>
      </c>
      <c r="C10" s="4">
        <f t="shared" si="4"/>
        <v>273.52999999999997</v>
      </c>
      <c r="D10" s="2">
        <f t="shared" si="15"/>
        <v>62.22</v>
      </c>
      <c r="E10" s="2">
        <f t="shared" si="5"/>
        <v>409.53</v>
      </c>
      <c r="F10" s="2">
        <f t="shared" si="1"/>
        <v>273.52999999999997</v>
      </c>
      <c r="G10" s="2">
        <f t="shared" si="6"/>
        <v>211.30999999999997</v>
      </c>
      <c r="H10" s="25">
        <f>SUM($A$5:A10)</f>
        <v>816</v>
      </c>
      <c r="I10" s="25">
        <f>SUM($B$5:B10)</f>
        <v>1070.24</v>
      </c>
      <c r="J10" s="25">
        <f t="shared" si="7"/>
        <v>254.24</v>
      </c>
      <c r="K10" s="22">
        <f t="shared" si="8"/>
        <v>0</v>
      </c>
      <c r="L10" s="2">
        <f t="shared" si="9"/>
        <v>1070.24</v>
      </c>
      <c r="M10" s="2">
        <f t="shared" si="10"/>
        <v>254.24</v>
      </c>
      <c r="N10" s="19">
        <f t="shared" si="2"/>
        <v>1089.53</v>
      </c>
      <c r="O10" s="19">
        <f t="shared" si="3"/>
        <v>19.289999999999964</v>
      </c>
      <c r="P10" s="25">
        <f>-MIN($J$5:J10,0)</f>
        <v>19.289999999999964</v>
      </c>
      <c r="Q10" s="8">
        <f t="shared" si="11"/>
        <v>273.52999999999997</v>
      </c>
      <c r="R10">
        <v>170</v>
      </c>
      <c r="T10">
        <f>SUM($R$5:R10)</f>
        <v>1020</v>
      </c>
      <c r="U10" s="2">
        <f t="shared" si="12"/>
        <v>50.240000000000009</v>
      </c>
      <c r="V10">
        <f t="shared" si="13"/>
        <v>205.52999999999997</v>
      </c>
      <c r="W10">
        <f t="shared" si="16"/>
        <v>28.22</v>
      </c>
      <c r="X10" s="2">
        <f>-MIN($U$5:U10,0)</f>
        <v>155.28999999999996</v>
      </c>
      <c r="Y10" s="2">
        <f t="shared" si="14"/>
        <v>205.52999999999997</v>
      </c>
    </row>
    <row r="11" spans="1:25" s="14" customFormat="1" x14ac:dyDescent="0.25">
      <c r="A11" s="26">
        <v>136</v>
      </c>
      <c r="B11" s="26">
        <v>174.48</v>
      </c>
      <c r="C11" s="4">
        <f t="shared" si="4"/>
        <v>312.01</v>
      </c>
      <c r="D11" s="2">
        <f t="shared" si="15"/>
        <v>273.52999999999997</v>
      </c>
      <c r="E11" s="2">
        <f t="shared" si="5"/>
        <v>448.01</v>
      </c>
      <c r="F11" s="2">
        <f t="shared" si="1"/>
        <v>312.01</v>
      </c>
      <c r="G11" s="2">
        <f t="shared" si="6"/>
        <v>38.480000000000018</v>
      </c>
      <c r="H11" s="25">
        <f>SUM($A$5:A11)</f>
        <v>952</v>
      </c>
      <c r="I11" s="25">
        <f>SUM($B$5:B11)</f>
        <v>1244.72</v>
      </c>
      <c r="J11" s="25">
        <f t="shared" si="7"/>
        <v>292.72000000000003</v>
      </c>
      <c r="K11" s="22">
        <f t="shared" si="8"/>
        <v>0</v>
      </c>
      <c r="L11" s="2">
        <f t="shared" si="9"/>
        <v>1244.72</v>
      </c>
      <c r="M11" s="2">
        <f t="shared" si="10"/>
        <v>292.72000000000003</v>
      </c>
      <c r="N11" s="19">
        <f t="shared" si="2"/>
        <v>1264.01</v>
      </c>
      <c r="O11" s="19">
        <f t="shared" si="3"/>
        <v>19.289999999999964</v>
      </c>
      <c r="P11" s="25">
        <f>-MIN($J$5:J11,0)</f>
        <v>19.289999999999964</v>
      </c>
      <c r="Q11" s="8">
        <f t="shared" si="11"/>
        <v>312.01</v>
      </c>
      <c r="R11">
        <v>170</v>
      </c>
      <c r="T11">
        <f>SUM($R$5:R11)</f>
        <v>1190</v>
      </c>
      <c r="U11" s="2">
        <f t="shared" si="12"/>
        <v>54.720000000000027</v>
      </c>
      <c r="V11">
        <f t="shared" si="13"/>
        <v>210.01</v>
      </c>
      <c r="W11">
        <f t="shared" si="16"/>
        <v>205.52999999999997</v>
      </c>
      <c r="X11" s="2">
        <f>-MIN($U$5:U11,0)</f>
        <v>155.28999999999996</v>
      </c>
      <c r="Y11" s="2">
        <f t="shared" si="14"/>
        <v>210.01</v>
      </c>
    </row>
    <row r="12" spans="1:25" s="21" customFormat="1" x14ac:dyDescent="0.25">
      <c r="A12" s="18">
        <v>136</v>
      </c>
      <c r="B12" s="18">
        <v>85.07</v>
      </c>
      <c r="C12" s="18">
        <f t="shared" si="4"/>
        <v>261.08</v>
      </c>
      <c r="D12" s="19">
        <f t="shared" si="15"/>
        <v>312.01</v>
      </c>
      <c r="E12" s="19">
        <f t="shared" si="5"/>
        <v>397.08</v>
      </c>
      <c r="F12" s="19">
        <f t="shared" si="1"/>
        <v>261.08</v>
      </c>
      <c r="G12" s="19">
        <f t="shared" si="6"/>
        <v>-50.930000000000007</v>
      </c>
      <c r="H12" s="25">
        <f>SUM($A$5:A12)</f>
        <v>1088</v>
      </c>
      <c r="I12" s="25">
        <f>SUM($B$5:B12)</f>
        <v>1329.79</v>
      </c>
      <c r="J12" s="25">
        <f t="shared" si="7"/>
        <v>241.78999999999996</v>
      </c>
      <c r="K12" s="20">
        <f t="shared" si="8"/>
        <v>0</v>
      </c>
      <c r="L12" s="19">
        <f t="shared" si="9"/>
        <v>1329.79</v>
      </c>
      <c r="M12" s="19">
        <f t="shared" si="10"/>
        <v>241.78999999999996</v>
      </c>
      <c r="N12" s="19">
        <f>C12+H12</f>
        <v>1349.08</v>
      </c>
      <c r="O12" s="19">
        <f>N12-I12</f>
        <v>19.289999999999964</v>
      </c>
      <c r="P12" s="25">
        <f>-MIN($J$5:J12,0)</f>
        <v>19.289999999999964</v>
      </c>
      <c r="Q12" s="8">
        <f t="shared" si="11"/>
        <v>261.07999999999993</v>
      </c>
      <c r="R12">
        <v>170</v>
      </c>
      <c r="T12">
        <f>SUM($R$5:R12)</f>
        <v>1360</v>
      </c>
      <c r="U12" s="2">
        <f t="shared" si="12"/>
        <v>-30.210000000000036</v>
      </c>
      <c r="V12">
        <f t="shared" si="13"/>
        <v>125.07999999999998</v>
      </c>
      <c r="W12">
        <f t="shared" si="16"/>
        <v>210.01</v>
      </c>
      <c r="X12" s="2">
        <f>-MIN($U$5:U12,0)</f>
        <v>155.28999999999996</v>
      </c>
      <c r="Y12" s="2">
        <f t="shared" si="14"/>
        <v>125.07999999999993</v>
      </c>
    </row>
    <row r="13" spans="1:25" x14ac:dyDescent="0.25">
      <c r="A13" s="1">
        <v>136</v>
      </c>
      <c r="B13" s="1">
        <v>58.68</v>
      </c>
      <c r="C13" s="4">
        <f t="shared" si="4"/>
        <v>183.76</v>
      </c>
      <c r="D13" s="2">
        <f t="shared" si="15"/>
        <v>261.08</v>
      </c>
      <c r="E13" s="2">
        <f t="shared" si="5"/>
        <v>319.76</v>
      </c>
      <c r="F13" s="2">
        <f t="shared" si="1"/>
        <v>183.76</v>
      </c>
      <c r="G13" s="2">
        <f t="shared" si="6"/>
        <v>-77.319999999999993</v>
      </c>
      <c r="H13" s="25">
        <f>SUM($A$5:A13)</f>
        <v>1224</v>
      </c>
      <c r="I13" s="25">
        <f>SUM($B$5:B13)</f>
        <v>1388.47</v>
      </c>
      <c r="J13" s="25">
        <f t="shared" si="7"/>
        <v>164.47000000000003</v>
      </c>
      <c r="K13" s="17">
        <f t="shared" si="8"/>
        <v>0</v>
      </c>
      <c r="L13" s="2">
        <f t="shared" si="9"/>
        <v>1388.47</v>
      </c>
      <c r="M13" s="2">
        <f t="shared" si="10"/>
        <v>164.47000000000003</v>
      </c>
      <c r="N13" s="19">
        <f t="shared" ref="N13:N20" si="17">C13+H13</f>
        <v>1407.76</v>
      </c>
      <c r="O13" s="19">
        <f t="shared" ref="O13:O20" si="18">N13-I13</f>
        <v>19.289999999999964</v>
      </c>
      <c r="P13" s="25">
        <f>-MIN($J$5:J13,0)</f>
        <v>19.289999999999964</v>
      </c>
      <c r="Q13" s="8">
        <f t="shared" si="11"/>
        <v>183.76</v>
      </c>
      <c r="R13">
        <v>170</v>
      </c>
      <c r="T13">
        <f>SUM($R$5:R13)</f>
        <v>1530</v>
      </c>
      <c r="U13" s="2">
        <f t="shared" si="12"/>
        <v>-141.52999999999997</v>
      </c>
      <c r="V13">
        <f t="shared" si="13"/>
        <v>13.759999999999991</v>
      </c>
      <c r="W13">
        <f t="shared" si="16"/>
        <v>125.07999999999998</v>
      </c>
      <c r="X13" s="2">
        <f>-MIN($U$5:U13,0)</f>
        <v>155.28999999999996</v>
      </c>
      <c r="Y13" s="2">
        <f t="shared" si="14"/>
        <v>13.759999999999991</v>
      </c>
    </row>
    <row r="14" spans="1:25" x14ac:dyDescent="0.25">
      <c r="A14" s="1">
        <v>136</v>
      </c>
      <c r="B14" s="1">
        <v>30.96</v>
      </c>
      <c r="C14" s="4">
        <f t="shared" si="4"/>
        <v>78.72</v>
      </c>
      <c r="D14" s="2">
        <f t="shared" si="15"/>
        <v>183.76</v>
      </c>
      <c r="E14" s="2">
        <f t="shared" si="5"/>
        <v>214.72</v>
      </c>
      <c r="F14" s="2">
        <f t="shared" si="1"/>
        <v>78.72</v>
      </c>
      <c r="G14" s="2">
        <f t="shared" si="6"/>
        <v>-105.03999999999999</v>
      </c>
      <c r="H14" s="25">
        <f>SUM($A$5:A14)</f>
        <v>1360</v>
      </c>
      <c r="I14" s="25">
        <f>SUM($B$5:B14)</f>
        <v>1419.43</v>
      </c>
      <c r="J14" s="25">
        <f t="shared" si="7"/>
        <v>59.430000000000064</v>
      </c>
      <c r="K14" s="17">
        <f t="shared" si="8"/>
        <v>0</v>
      </c>
      <c r="L14" s="2">
        <f t="shared" si="9"/>
        <v>1419.43</v>
      </c>
      <c r="M14" s="2">
        <f t="shared" si="10"/>
        <v>59.430000000000064</v>
      </c>
      <c r="N14" s="19">
        <f t="shared" si="17"/>
        <v>1438.72</v>
      </c>
      <c r="O14" s="19">
        <f t="shared" si="18"/>
        <v>19.289999999999964</v>
      </c>
      <c r="P14" s="25">
        <f>-MIN($J$5:J14,0)</f>
        <v>19.289999999999964</v>
      </c>
      <c r="Q14" s="8">
        <f t="shared" si="11"/>
        <v>78.720000000000027</v>
      </c>
      <c r="R14">
        <v>170</v>
      </c>
      <c r="T14">
        <f>SUM($R$5:R14)</f>
        <v>1700</v>
      </c>
      <c r="U14" s="2">
        <f t="shared" si="12"/>
        <v>-280.56999999999994</v>
      </c>
      <c r="V14">
        <f t="shared" si="13"/>
        <v>0</v>
      </c>
      <c r="W14">
        <f t="shared" si="16"/>
        <v>13.759999999999991</v>
      </c>
      <c r="X14" s="2">
        <f>-MIN($U$5:U14,0)</f>
        <v>280.56999999999994</v>
      </c>
      <c r="Y14" s="2">
        <f t="shared" si="14"/>
        <v>0</v>
      </c>
    </row>
    <row r="15" spans="1:25" x14ac:dyDescent="0.25">
      <c r="A15" s="1"/>
      <c r="B15" s="1">
        <v>37.159999999999997</v>
      </c>
      <c r="C15" s="27">
        <f t="shared" si="4"/>
        <v>115.88</v>
      </c>
      <c r="D15" s="2">
        <f t="shared" si="15"/>
        <v>78.72</v>
      </c>
      <c r="E15" s="2">
        <f t="shared" si="5"/>
        <v>115.88</v>
      </c>
      <c r="F15" s="2">
        <f t="shared" si="1"/>
        <v>115.88</v>
      </c>
      <c r="G15" s="2">
        <f t="shared" si="6"/>
        <v>37.159999999999997</v>
      </c>
      <c r="H15" s="25">
        <f>SUM($A$5:A15)</f>
        <v>1360</v>
      </c>
      <c r="I15" s="25">
        <f>SUM($B$5:B15)</f>
        <v>1456.5900000000001</v>
      </c>
      <c r="J15" s="25">
        <f t="shared" si="7"/>
        <v>96.590000000000146</v>
      </c>
      <c r="K15" s="17">
        <f t="shared" si="8"/>
        <v>0</v>
      </c>
      <c r="L15" s="2">
        <f t="shared" si="9"/>
        <v>1456.5900000000001</v>
      </c>
      <c r="M15" s="2">
        <f t="shared" si="10"/>
        <v>96.590000000000146</v>
      </c>
      <c r="N15" s="19">
        <f t="shared" si="17"/>
        <v>1475.88</v>
      </c>
      <c r="O15" s="19">
        <f t="shared" si="18"/>
        <v>19.289999999999964</v>
      </c>
      <c r="P15" s="25">
        <f>-MIN($J$5:J15,0)</f>
        <v>19.289999999999964</v>
      </c>
      <c r="Q15" s="28">
        <f t="shared" si="11"/>
        <v>115.88000000000011</v>
      </c>
      <c r="T15">
        <f>SUM($R$5:R15)</f>
        <v>1700</v>
      </c>
      <c r="U15" s="2">
        <f t="shared" si="12"/>
        <v>-243.40999999999985</v>
      </c>
      <c r="V15">
        <f t="shared" si="13"/>
        <v>37.159999999999997</v>
      </c>
      <c r="W15">
        <f t="shared" si="16"/>
        <v>0</v>
      </c>
      <c r="X15" s="2">
        <f>-MIN($U$5:U15,0)</f>
        <v>280.56999999999994</v>
      </c>
      <c r="Y15" s="2">
        <f t="shared" si="14"/>
        <v>37.160000000000082</v>
      </c>
    </row>
    <row r="16" spans="1:25" x14ac:dyDescent="0.25">
      <c r="A16" s="1"/>
      <c r="B16" s="1">
        <v>54.63</v>
      </c>
      <c r="C16" s="27">
        <f t="shared" si="4"/>
        <v>170.51</v>
      </c>
      <c r="D16" s="2">
        <f t="shared" si="15"/>
        <v>115.88</v>
      </c>
      <c r="E16" s="2">
        <f t="shared" si="5"/>
        <v>170.51</v>
      </c>
      <c r="F16" s="2">
        <f t="shared" si="1"/>
        <v>170.51</v>
      </c>
      <c r="G16" s="2">
        <f t="shared" si="6"/>
        <v>54.629999999999995</v>
      </c>
      <c r="H16" s="25">
        <f>SUM($A$5:A16)</f>
        <v>1360</v>
      </c>
      <c r="I16" s="25">
        <f>SUM($B$5:B16)</f>
        <v>1511.2200000000003</v>
      </c>
      <c r="J16" s="25">
        <f t="shared" si="7"/>
        <v>151.22000000000025</v>
      </c>
      <c r="K16" s="17">
        <f t="shared" si="8"/>
        <v>0</v>
      </c>
      <c r="L16" s="2">
        <f t="shared" si="9"/>
        <v>1511.2200000000003</v>
      </c>
      <c r="M16" s="2">
        <f t="shared" si="10"/>
        <v>151.22000000000025</v>
      </c>
      <c r="N16" s="19">
        <f t="shared" si="17"/>
        <v>1530.51</v>
      </c>
      <c r="O16" s="19">
        <f t="shared" si="18"/>
        <v>19.289999999999736</v>
      </c>
      <c r="P16" s="25">
        <f>-MIN($J$5:J16,0)</f>
        <v>19.289999999999964</v>
      </c>
      <c r="Q16" s="28">
        <f t="shared" si="11"/>
        <v>170.51000000000022</v>
      </c>
      <c r="T16">
        <f>SUM($R$5:R16)</f>
        <v>1700</v>
      </c>
      <c r="U16" s="2">
        <f t="shared" si="12"/>
        <v>-188.77999999999975</v>
      </c>
      <c r="V16">
        <f t="shared" si="13"/>
        <v>91.789999999999992</v>
      </c>
      <c r="W16">
        <f t="shared" si="16"/>
        <v>37.159999999999997</v>
      </c>
      <c r="X16" s="2">
        <f>-MIN($U$5:U16,0)</f>
        <v>280.56999999999994</v>
      </c>
      <c r="Y16" s="2">
        <f t="shared" si="14"/>
        <v>91.790000000000191</v>
      </c>
    </row>
    <row r="17" spans="1:25" x14ac:dyDescent="0.25">
      <c r="A17" s="1"/>
      <c r="B17" s="1">
        <v>29.67</v>
      </c>
      <c r="C17" s="27">
        <f t="shared" si="4"/>
        <v>200.18</v>
      </c>
      <c r="D17" s="2">
        <f t="shared" si="15"/>
        <v>170.51</v>
      </c>
      <c r="E17" s="2">
        <f t="shared" si="5"/>
        <v>200.18</v>
      </c>
      <c r="F17" s="2">
        <f t="shared" si="1"/>
        <v>200.18</v>
      </c>
      <c r="G17" s="2">
        <f t="shared" si="6"/>
        <v>29.670000000000016</v>
      </c>
      <c r="H17" s="25">
        <f>SUM($A$5:A17)</f>
        <v>1360</v>
      </c>
      <c r="I17" s="25">
        <f>SUM($B$5:B17)</f>
        <v>1540.8900000000003</v>
      </c>
      <c r="J17" s="25">
        <f t="shared" si="7"/>
        <v>180.89000000000033</v>
      </c>
      <c r="K17" s="17">
        <f t="shared" si="8"/>
        <v>0</v>
      </c>
      <c r="L17" s="2">
        <f t="shared" si="9"/>
        <v>1540.8900000000003</v>
      </c>
      <c r="M17" s="2">
        <f t="shared" si="10"/>
        <v>180.89000000000033</v>
      </c>
      <c r="N17" s="19">
        <f t="shared" si="17"/>
        <v>1560.18</v>
      </c>
      <c r="O17" s="19">
        <f t="shared" si="18"/>
        <v>19.289999999999736</v>
      </c>
      <c r="P17" s="25">
        <f>-MIN($J$5:J17,0)</f>
        <v>19.289999999999964</v>
      </c>
      <c r="Q17" s="28">
        <f t="shared" si="11"/>
        <v>200.18000000000029</v>
      </c>
      <c r="T17">
        <f>SUM($R$5:R17)</f>
        <v>1700</v>
      </c>
      <c r="U17" s="2">
        <f t="shared" si="12"/>
        <v>-159.10999999999967</v>
      </c>
      <c r="V17">
        <f t="shared" si="13"/>
        <v>121.46</v>
      </c>
      <c r="W17">
        <f t="shared" si="16"/>
        <v>91.789999999999992</v>
      </c>
      <c r="X17" s="2">
        <f>-MIN($U$5:U17,0)</f>
        <v>280.56999999999994</v>
      </c>
      <c r="Y17" s="2">
        <f t="shared" si="14"/>
        <v>121.46000000000026</v>
      </c>
    </row>
    <row r="18" spans="1:25" x14ac:dyDescent="0.25">
      <c r="A18" s="1"/>
      <c r="B18" s="1">
        <v>42.95</v>
      </c>
      <c r="C18" s="27">
        <f t="shared" si="4"/>
        <v>243.13</v>
      </c>
      <c r="D18" s="2">
        <f t="shared" si="15"/>
        <v>200.18</v>
      </c>
      <c r="E18" s="2">
        <f t="shared" si="5"/>
        <v>243.13</v>
      </c>
      <c r="F18" s="2">
        <f t="shared" si="1"/>
        <v>243.13</v>
      </c>
      <c r="G18" s="2">
        <f t="shared" si="6"/>
        <v>42.949999999999989</v>
      </c>
      <c r="H18" s="25">
        <f>SUM($A$5:A18)</f>
        <v>1360</v>
      </c>
      <c r="I18" s="25">
        <f>SUM($B$5:B18)</f>
        <v>1583.8400000000004</v>
      </c>
      <c r="J18" s="25">
        <f t="shared" si="7"/>
        <v>223.84000000000037</v>
      </c>
      <c r="K18" s="17">
        <f t="shared" si="8"/>
        <v>0</v>
      </c>
      <c r="L18" s="2">
        <f t="shared" si="9"/>
        <v>1583.8400000000004</v>
      </c>
      <c r="M18" s="2">
        <f t="shared" si="10"/>
        <v>223.84000000000037</v>
      </c>
      <c r="N18" s="19">
        <f t="shared" si="17"/>
        <v>1603.13</v>
      </c>
      <c r="O18" s="19">
        <f t="shared" si="18"/>
        <v>19.289999999999736</v>
      </c>
      <c r="P18" s="25">
        <f>-MIN($J$5:J18,0)</f>
        <v>19.289999999999964</v>
      </c>
      <c r="Q18" s="28">
        <f t="shared" si="11"/>
        <v>243.13000000000034</v>
      </c>
      <c r="T18">
        <f>SUM($R$5:R18)</f>
        <v>1700</v>
      </c>
      <c r="U18" s="2">
        <f t="shared" si="12"/>
        <v>-116.15999999999963</v>
      </c>
      <c r="V18">
        <f t="shared" si="13"/>
        <v>164.41</v>
      </c>
      <c r="W18">
        <f t="shared" si="16"/>
        <v>121.46</v>
      </c>
      <c r="X18" s="2">
        <f>-MIN($U$5:U18,0)</f>
        <v>280.56999999999994</v>
      </c>
      <c r="Y18" s="2">
        <f t="shared" si="14"/>
        <v>164.41000000000031</v>
      </c>
    </row>
    <row r="19" spans="1:25" x14ac:dyDescent="0.25">
      <c r="A19" s="1"/>
      <c r="B19" s="1">
        <v>19.25</v>
      </c>
      <c r="C19" s="27">
        <f t="shared" si="4"/>
        <v>262.38</v>
      </c>
      <c r="D19" s="2">
        <f t="shared" si="15"/>
        <v>243.13</v>
      </c>
      <c r="E19" s="2">
        <f t="shared" si="5"/>
        <v>262.38</v>
      </c>
      <c r="F19" s="2">
        <f t="shared" si="1"/>
        <v>262.38</v>
      </c>
      <c r="G19" s="2">
        <f t="shared" si="6"/>
        <v>19.25</v>
      </c>
      <c r="H19" s="25">
        <f>SUM($A$5:A19)</f>
        <v>1360</v>
      </c>
      <c r="I19" s="25">
        <f>SUM($B$5:B19)</f>
        <v>1603.0900000000004</v>
      </c>
      <c r="J19" s="25">
        <f t="shared" si="7"/>
        <v>243.09000000000037</v>
      </c>
      <c r="K19" s="17">
        <f t="shared" si="8"/>
        <v>0</v>
      </c>
      <c r="L19" s="2">
        <f t="shared" si="9"/>
        <v>1603.0900000000004</v>
      </c>
      <c r="M19" s="2">
        <f t="shared" si="10"/>
        <v>243.09000000000037</v>
      </c>
      <c r="N19" s="19">
        <f t="shared" si="17"/>
        <v>1622.38</v>
      </c>
      <c r="O19" s="19">
        <f t="shared" si="18"/>
        <v>19.289999999999736</v>
      </c>
      <c r="P19" s="25">
        <f>-MIN($J$5:J19,0)</f>
        <v>19.289999999999964</v>
      </c>
      <c r="Q19" s="28">
        <f t="shared" si="11"/>
        <v>262.38000000000034</v>
      </c>
      <c r="T19">
        <f>SUM($R$5:R19)</f>
        <v>1700</v>
      </c>
      <c r="U19" s="2">
        <f t="shared" si="12"/>
        <v>-96.909999999999627</v>
      </c>
      <c r="V19">
        <f t="shared" si="13"/>
        <v>183.66</v>
      </c>
      <c r="W19">
        <f t="shared" si="16"/>
        <v>164.41</v>
      </c>
      <c r="X19" s="2">
        <f>-MIN($U$5:U19,0)</f>
        <v>280.56999999999994</v>
      </c>
      <c r="Y19" s="2">
        <f t="shared" si="14"/>
        <v>183.66000000000031</v>
      </c>
    </row>
    <row r="20" spans="1:25" x14ac:dyDescent="0.25">
      <c r="A20" s="1"/>
      <c r="B20" s="1">
        <v>9.6999999999999993</v>
      </c>
      <c r="C20" s="27">
        <f t="shared" si="4"/>
        <v>272.08</v>
      </c>
      <c r="D20" s="2">
        <f t="shared" si="15"/>
        <v>262.38</v>
      </c>
      <c r="E20" s="2">
        <f t="shared" si="5"/>
        <v>272.08</v>
      </c>
      <c r="F20" s="2">
        <f t="shared" si="1"/>
        <v>272.08</v>
      </c>
      <c r="G20" s="2">
        <f t="shared" si="6"/>
        <v>9.6999999999999886</v>
      </c>
      <c r="H20" s="25">
        <f>SUM($A$5:A20)</f>
        <v>1360</v>
      </c>
      <c r="I20" s="25">
        <f>SUM($B$5:B20)</f>
        <v>1612.7900000000004</v>
      </c>
      <c r="J20" s="25">
        <f t="shared" si="7"/>
        <v>252.79000000000042</v>
      </c>
      <c r="K20" s="17">
        <f t="shared" si="8"/>
        <v>0</v>
      </c>
      <c r="L20" s="2">
        <f t="shared" si="9"/>
        <v>1612.7900000000004</v>
      </c>
      <c r="M20" s="2">
        <f t="shared" si="10"/>
        <v>252.79000000000042</v>
      </c>
      <c r="N20" s="19">
        <f t="shared" si="17"/>
        <v>1632.08</v>
      </c>
      <c r="O20" s="19">
        <f t="shared" si="18"/>
        <v>19.289999999999509</v>
      </c>
      <c r="P20" s="25">
        <f>-MIN($J$5:J20,0)</f>
        <v>19.289999999999964</v>
      </c>
      <c r="Q20" s="28">
        <f t="shared" si="11"/>
        <v>272.08000000000038</v>
      </c>
      <c r="T20">
        <f>SUM($R$5:R20)</f>
        <v>1700</v>
      </c>
      <c r="U20" s="2">
        <f t="shared" si="12"/>
        <v>-87.209999999999582</v>
      </c>
      <c r="V20">
        <f t="shared" si="13"/>
        <v>193.35999999999999</v>
      </c>
      <c r="W20">
        <f t="shared" si="16"/>
        <v>183.66</v>
      </c>
      <c r="X20" s="2">
        <f>-MIN($U$5:U20,0)</f>
        <v>280.56999999999994</v>
      </c>
      <c r="Y20" s="2">
        <f t="shared" si="14"/>
        <v>193.36000000000035</v>
      </c>
    </row>
    <row r="21" spans="1:25" x14ac:dyDescent="0.25">
      <c r="A21" s="1"/>
      <c r="B21" s="15"/>
      <c r="C21" s="16"/>
      <c r="D21" s="2"/>
      <c r="E21" s="2"/>
      <c r="F21" s="2"/>
      <c r="G21" s="2"/>
      <c r="H21" s="25"/>
      <c r="I21" s="25"/>
      <c r="J21" s="25"/>
      <c r="K21" s="22"/>
      <c r="L21" s="2"/>
      <c r="M21" s="2"/>
      <c r="N21" s="19"/>
      <c r="O21" s="19"/>
      <c r="P21" s="25"/>
      <c r="Q21" s="23"/>
    </row>
    <row r="22" spans="1:25" x14ac:dyDescent="0.25">
      <c r="A22" s="1"/>
      <c r="B22" s="1"/>
      <c r="C22" s="4"/>
      <c r="D22" s="2"/>
      <c r="E22" s="2"/>
      <c r="F22" s="2"/>
      <c r="G22" s="2"/>
      <c r="H22" s="25"/>
      <c r="I22" s="25"/>
      <c r="J22" s="25"/>
      <c r="K22" s="17"/>
      <c r="L22" s="2"/>
      <c r="M22" s="2"/>
      <c r="N22" s="19"/>
      <c r="O22" s="19"/>
      <c r="P22" s="25"/>
      <c r="Q22" s="8"/>
    </row>
    <row r="23" spans="1:25" x14ac:dyDescent="0.25">
      <c r="A23" s="1"/>
      <c r="B23" s="1"/>
      <c r="C23" s="4"/>
      <c r="D23" s="2"/>
      <c r="E23" s="2"/>
      <c r="F23" s="2"/>
      <c r="G23" s="2"/>
      <c r="H23" s="25"/>
      <c r="I23" s="25"/>
      <c r="J23" s="25"/>
      <c r="K23" s="17"/>
      <c r="L23" s="2"/>
      <c r="M23" s="2"/>
      <c r="N23" s="19"/>
      <c r="O23" s="19"/>
      <c r="P23" s="25"/>
      <c r="Q23" s="8"/>
    </row>
    <row r="24" spans="1:25" x14ac:dyDescent="0.25">
      <c r="A24" s="1"/>
      <c r="B24" s="1"/>
      <c r="C24" s="4"/>
      <c r="D24" s="2"/>
      <c r="E24" s="2"/>
      <c r="F24" s="2"/>
      <c r="G24" s="2"/>
      <c r="H24" s="25"/>
      <c r="I24" s="25"/>
      <c r="J24" s="25"/>
      <c r="K24" s="17"/>
      <c r="L24" s="2"/>
      <c r="M24" s="2"/>
      <c r="N24" s="19"/>
      <c r="O24" s="19"/>
      <c r="P24" s="25"/>
      <c r="Q24" s="8"/>
    </row>
    <row r="25" spans="1:25" x14ac:dyDescent="0.25">
      <c r="A25" s="1"/>
      <c r="B25" s="1"/>
      <c r="C25" s="4"/>
      <c r="D25" s="2"/>
      <c r="E25" s="2"/>
      <c r="F25" s="2"/>
      <c r="G25" s="2"/>
      <c r="H25" s="25"/>
      <c r="I25" s="25"/>
      <c r="J25" s="25"/>
      <c r="K25" s="17"/>
      <c r="L25" s="2"/>
      <c r="M25" s="2"/>
      <c r="N25" s="19"/>
      <c r="O25" s="19"/>
      <c r="P25" s="25"/>
      <c r="Q25" s="8"/>
    </row>
    <row r="26" spans="1:25" x14ac:dyDescent="0.25">
      <c r="A26" s="1"/>
      <c r="B26" s="1"/>
      <c r="C26" s="4"/>
      <c r="D26" s="2"/>
      <c r="E26" s="2"/>
      <c r="F26" s="2"/>
      <c r="G26" s="2"/>
      <c r="H26" s="25"/>
      <c r="I26" s="25"/>
      <c r="J26" s="25"/>
      <c r="K26" s="17"/>
      <c r="L26" s="2"/>
      <c r="M26" s="2"/>
      <c r="N26" s="19"/>
      <c r="O26" s="19"/>
      <c r="P26" s="25"/>
      <c r="Q26" s="8"/>
    </row>
    <row r="27" spans="1:25" x14ac:dyDescent="0.25">
      <c r="A27" s="1"/>
      <c r="B27" s="1"/>
      <c r="C27" s="4"/>
      <c r="D27" s="2"/>
      <c r="E27" s="2"/>
      <c r="F27" s="2"/>
      <c r="G27" s="2"/>
      <c r="H27" s="25"/>
      <c r="I27" s="25"/>
      <c r="J27" s="25"/>
      <c r="K27" s="17"/>
      <c r="L27" s="2"/>
      <c r="M27" s="2"/>
      <c r="N27" s="19"/>
      <c r="O27" s="19"/>
      <c r="P27" s="25"/>
      <c r="Q27" s="8"/>
    </row>
    <row r="28" spans="1:25" x14ac:dyDescent="0.25">
      <c r="A28" s="1"/>
      <c r="B28" s="1"/>
      <c r="C28" s="4"/>
      <c r="D28" s="2"/>
      <c r="E28" s="2"/>
      <c r="F28" s="2"/>
      <c r="G28" s="2"/>
      <c r="H28" s="25"/>
      <c r="I28" s="25"/>
      <c r="J28" s="25"/>
      <c r="K28" s="17"/>
      <c r="L28" s="2"/>
      <c r="M28" s="2"/>
      <c r="N28" s="19"/>
      <c r="O28" s="19"/>
      <c r="P28" s="25"/>
      <c r="Q28" s="8"/>
    </row>
    <row r="29" spans="1:25" x14ac:dyDescent="0.25">
      <c r="A29" s="1"/>
      <c r="B29" s="1"/>
      <c r="C29" s="4"/>
      <c r="D29" s="2"/>
      <c r="E29" s="2"/>
      <c r="F29" s="2"/>
      <c r="G29" s="2"/>
      <c r="H29" s="25"/>
      <c r="I29" s="25"/>
      <c r="J29" s="25"/>
      <c r="K29" s="17"/>
      <c r="L29" s="2"/>
      <c r="M29" s="2"/>
      <c r="N29" s="19"/>
      <c r="O29" s="19"/>
      <c r="P29" s="25"/>
      <c r="Q29" s="8"/>
    </row>
    <row r="30" spans="1:25" x14ac:dyDescent="0.25">
      <c r="A30" s="1"/>
      <c r="B30" s="1"/>
      <c r="C30" s="4"/>
      <c r="D30" s="2"/>
      <c r="E30" s="2"/>
      <c r="F30" s="2"/>
      <c r="G30" s="2"/>
      <c r="H30" s="25"/>
      <c r="I30" s="25"/>
      <c r="J30" s="25"/>
      <c r="K30" s="17"/>
      <c r="L30" s="2"/>
      <c r="M30" s="2"/>
      <c r="N30" s="19"/>
      <c r="O30" s="19"/>
      <c r="P30" s="25"/>
      <c r="Q30" s="8"/>
    </row>
    <row r="31" spans="1:25" x14ac:dyDescent="0.25">
      <c r="A31" s="1"/>
      <c r="B31" s="1"/>
      <c r="C31" s="16"/>
      <c r="D31" s="2"/>
      <c r="E31" s="2"/>
      <c r="F31" s="2"/>
      <c r="G31" s="2"/>
      <c r="H31" s="25"/>
      <c r="I31" s="25"/>
      <c r="J31" s="25"/>
      <c r="K31" s="22"/>
      <c r="L31" s="2"/>
      <c r="M31" s="2"/>
      <c r="N31" s="19"/>
      <c r="O31" s="19"/>
      <c r="P31" s="25"/>
      <c r="Q31" s="23"/>
    </row>
    <row r="32" spans="1:25" x14ac:dyDescent="0.25">
      <c r="A32" s="1"/>
      <c r="B32" s="1"/>
      <c r="C32" s="16"/>
      <c r="D32" s="2"/>
      <c r="E32" s="2"/>
      <c r="F32" s="2"/>
      <c r="G32" s="2"/>
      <c r="H32" s="25"/>
      <c r="I32" s="25"/>
      <c r="J32" s="25"/>
      <c r="K32" s="22"/>
      <c r="L32" s="2"/>
      <c r="M32" s="2"/>
      <c r="N32" s="19"/>
      <c r="O32" s="19"/>
      <c r="P32" s="25"/>
      <c r="Q32" s="23"/>
    </row>
    <row r="33" spans="1:17" x14ac:dyDescent="0.25">
      <c r="A33" s="1"/>
      <c r="B33" s="1"/>
      <c r="C33" s="16"/>
      <c r="D33" s="2"/>
      <c r="E33" s="2"/>
      <c r="F33" s="2"/>
      <c r="G33" s="2"/>
      <c r="H33" s="25"/>
      <c r="I33" s="25"/>
      <c r="J33" s="25"/>
      <c r="K33" s="22"/>
      <c r="L33" s="2"/>
      <c r="M33" s="2"/>
      <c r="N33" s="19"/>
      <c r="O33" s="19"/>
      <c r="P33" s="25"/>
      <c r="Q33" s="23"/>
    </row>
    <row r="34" spans="1:17" x14ac:dyDescent="0.25">
      <c r="A34" s="1"/>
      <c r="B34" s="1"/>
      <c r="C34" s="16"/>
      <c r="D34" s="2"/>
      <c r="E34" s="2"/>
      <c r="F34" s="2"/>
      <c r="G34" s="2"/>
      <c r="H34" s="25"/>
      <c r="I34" s="25"/>
      <c r="J34" s="25"/>
      <c r="K34" s="22"/>
      <c r="L34" s="2"/>
      <c r="M34" s="2"/>
      <c r="N34" s="19"/>
      <c r="O34" s="19"/>
      <c r="P34" s="25"/>
      <c r="Q34" s="23"/>
    </row>
  </sheetData>
  <conditionalFormatting sqref="F1:F1048576">
    <cfRule type="cellIs" dxfId="12" priority="2" operator="lessThan">
      <formula>0</formula>
    </cfRule>
  </conditionalFormatting>
  <conditionalFormatting sqref="J1:J1048576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EDF7-ED32-46EA-BF80-FA5D7964D602}">
  <dimension ref="A1:Q39"/>
  <sheetViews>
    <sheetView zoomScaleNormal="100" workbookViewId="0">
      <selection activeCell="B11" sqref="B11"/>
    </sheetView>
  </sheetViews>
  <sheetFormatPr defaultRowHeight="15" x14ac:dyDescent="0.25"/>
  <cols>
    <col min="1" max="1" width="10.28515625" bestFit="1" customWidth="1"/>
    <col min="2" max="4" width="9.5703125" bestFit="1" customWidth="1"/>
    <col min="5" max="6" width="9.5703125" customWidth="1"/>
    <col min="7" max="7" width="15.140625" customWidth="1"/>
    <col min="8" max="8" width="11.42578125" bestFit="1" customWidth="1"/>
    <col min="9" max="9" width="11.5703125" bestFit="1" customWidth="1"/>
    <col min="10" max="10" width="11.7109375" bestFit="1" customWidth="1"/>
    <col min="14" max="14" width="9.5703125" bestFit="1" customWidth="1"/>
    <col min="16" max="16" width="9.5703125" bestFit="1" customWidth="1"/>
  </cols>
  <sheetData>
    <row r="1" spans="1:17" x14ac:dyDescent="0.25">
      <c r="A1" t="s">
        <v>3</v>
      </c>
      <c r="B1" t="s">
        <v>4</v>
      </c>
      <c r="C1" t="s">
        <v>5</v>
      </c>
    </row>
    <row r="2" spans="1:17" x14ac:dyDescent="0.25">
      <c r="A2" t="s">
        <v>2</v>
      </c>
      <c r="B2" t="s">
        <v>0</v>
      </c>
      <c r="C2" t="s">
        <v>1</v>
      </c>
    </row>
    <row r="3" spans="1:17" x14ac:dyDescent="0.25">
      <c r="A3" t="s">
        <v>9</v>
      </c>
      <c r="E3" s="3" t="s">
        <v>6</v>
      </c>
      <c r="H3" t="s">
        <v>2</v>
      </c>
      <c r="I3" t="s">
        <v>0</v>
      </c>
      <c r="K3" t="s">
        <v>14</v>
      </c>
    </row>
    <row r="4" spans="1:17" x14ac:dyDescent="0.25">
      <c r="A4" s="1">
        <v>0</v>
      </c>
      <c r="B4" s="1">
        <v>0</v>
      </c>
      <c r="C4" s="4">
        <f>IF((B4+C3)&gt;A4,(B4+C3)-A4,0)</f>
        <v>0</v>
      </c>
      <c r="D4" s="2">
        <f>C3</f>
        <v>0</v>
      </c>
      <c r="E4" s="2">
        <f>B4+C3</f>
        <v>0</v>
      </c>
      <c r="F4" s="2">
        <f>E4-A4</f>
        <v>0</v>
      </c>
      <c r="H4" s="24" t="s">
        <v>10</v>
      </c>
      <c r="I4" s="24" t="s">
        <v>11</v>
      </c>
      <c r="J4" s="24" t="s">
        <v>12</v>
      </c>
      <c r="K4" s="24" t="s">
        <v>13</v>
      </c>
    </row>
    <row r="5" spans="1:17" x14ac:dyDescent="0.25">
      <c r="A5" s="1">
        <v>136</v>
      </c>
      <c r="B5" s="1">
        <v>0.93</v>
      </c>
      <c r="C5" s="4">
        <f t="shared" ref="C5:C9" si="0">IF((B5+C4)&gt;A5,(B5+C4)-A5,0)</f>
        <v>0</v>
      </c>
      <c r="D5" s="2">
        <f t="shared" ref="D5:D10" si="1">IF((B4+D4)&gt;A4,(B4+D4)-A4,0)</f>
        <v>0</v>
      </c>
      <c r="E5" s="2">
        <f t="shared" ref="E5:E10" si="2">B5+D5</f>
        <v>0.93</v>
      </c>
      <c r="F5" s="2">
        <f t="shared" ref="F5:F10" si="3">E5-A5</f>
        <v>-135.07</v>
      </c>
      <c r="H5" s="25">
        <f>SUM($A$5:A5)</f>
        <v>136</v>
      </c>
      <c r="I5" s="25">
        <f>SUM($B$5:B5)</f>
        <v>0.93</v>
      </c>
      <c r="J5" s="25">
        <f t="shared" ref="J5:J9" si="4">I5-H5</f>
        <v>-135.07</v>
      </c>
      <c r="K5" s="25">
        <f>MIN($J$5:J5,0)</f>
        <v>-135.07</v>
      </c>
      <c r="L5" s="8">
        <f>I5-H5-K5</f>
        <v>0</v>
      </c>
      <c r="M5" s="17">
        <f t="shared" ref="M5:M9" si="5">IF(J5&lt;0,-J5,0)</f>
        <v>135.07</v>
      </c>
      <c r="N5" s="2">
        <f t="shared" ref="N5:N9" si="6">I5+M5</f>
        <v>136</v>
      </c>
      <c r="O5" s="2">
        <f t="shared" ref="O5:O9" si="7">N5-H5</f>
        <v>0</v>
      </c>
      <c r="P5" s="19">
        <f t="shared" ref="P5:P9" si="8">C5+H5</f>
        <v>136</v>
      </c>
      <c r="Q5" s="19">
        <f t="shared" ref="Q5:Q9" si="9">P5-I5</f>
        <v>135.07</v>
      </c>
    </row>
    <row r="6" spans="1:17" x14ac:dyDescent="0.25">
      <c r="A6" s="1">
        <v>136</v>
      </c>
      <c r="B6" s="1">
        <v>85.4</v>
      </c>
      <c r="C6" s="4">
        <f t="shared" si="0"/>
        <v>0</v>
      </c>
      <c r="D6" s="2">
        <f t="shared" si="1"/>
        <v>0</v>
      </c>
      <c r="E6" s="2">
        <f t="shared" si="2"/>
        <v>85.4</v>
      </c>
      <c r="F6" s="2">
        <f t="shared" si="3"/>
        <v>-50.599999999999994</v>
      </c>
      <c r="H6" s="25">
        <f>SUM($A$5:A6)</f>
        <v>272</v>
      </c>
      <c r="I6" s="25">
        <f>SUM($B$5:B6)</f>
        <v>86.330000000000013</v>
      </c>
      <c r="J6" s="25">
        <f t="shared" si="4"/>
        <v>-185.67</v>
      </c>
      <c r="K6" s="25">
        <f>MIN($J$5:J6,0)</f>
        <v>-185.67</v>
      </c>
      <c r="L6" s="8">
        <f t="shared" ref="L6:L25" si="10">I6-H6-K6</f>
        <v>0</v>
      </c>
      <c r="M6" s="17">
        <f t="shared" si="5"/>
        <v>185.67</v>
      </c>
      <c r="N6" s="2">
        <f t="shared" si="6"/>
        <v>272</v>
      </c>
      <c r="O6" s="2">
        <f t="shared" si="7"/>
        <v>0</v>
      </c>
      <c r="P6" s="19">
        <f t="shared" si="8"/>
        <v>272</v>
      </c>
      <c r="Q6" s="19">
        <f t="shared" si="9"/>
        <v>185.67</v>
      </c>
    </row>
    <row r="7" spans="1:17" x14ac:dyDescent="0.25">
      <c r="A7" s="1">
        <v>136</v>
      </c>
      <c r="B7" s="1">
        <v>49.42</v>
      </c>
      <c r="C7" s="4">
        <f t="shared" si="0"/>
        <v>0</v>
      </c>
      <c r="D7" s="2">
        <f t="shared" si="1"/>
        <v>0</v>
      </c>
      <c r="E7" s="2">
        <f t="shared" si="2"/>
        <v>49.42</v>
      </c>
      <c r="F7" s="2">
        <f t="shared" si="3"/>
        <v>-86.58</v>
      </c>
      <c r="H7" s="25">
        <f>SUM($A$5:A7)</f>
        <v>408</v>
      </c>
      <c r="I7" s="25">
        <f>SUM($B$5:B7)</f>
        <v>135.75</v>
      </c>
      <c r="J7" s="25">
        <f t="shared" si="4"/>
        <v>-272.25</v>
      </c>
      <c r="K7" s="25">
        <f>MIN($J$5:J7,0)</f>
        <v>-272.25</v>
      </c>
      <c r="L7" s="8">
        <f t="shared" si="10"/>
        <v>0</v>
      </c>
      <c r="M7" s="17">
        <f t="shared" si="5"/>
        <v>272.25</v>
      </c>
      <c r="N7" s="2">
        <f t="shared" si="6"/>
        <v>408</v>
      </c>
      <c r="O7" s="2">
        <f t="shared" si="7"/>
        <v>0</v>
      </c>
      <c r="P7" s="19">
        <f t="shared" si="8"/>
        <v>408</v>
      </c>
      <c r="Q7" s="19">
        <f t="shared" si="9"/>
        <v>272.25</v>
      </c>
    </row>
    <row r="8" spans="1:17" x14ac:dyDescent="0.25">
      <c r="A8" s="1">
        <v>136</v>
      </c>
      <c r="B8" s="1">
        <v>104.58</v>
      </c>
      <c r="C8" s="4">
        <f t="shared" si="0"/>
        <v>0</v>
      </c>
      <c r="D8" s="2">
        <f t="shared" si="1"/>
        <v>0</v>
      </c>
      <c r="E8" s="2">
        <f t="shared" si="2"/>
        <v>104.58</v>
      </c>
      <c r="F8" s="2">
        <f t="shared" si="3"/>
        <v>-31.42</v>
      </c>
      <c r="H8" s="25">
        <f>SUM($A$5:A8)</f>
        <v>544</v>
      </c>
      <c r="I8" s="25">
        <f>SUM($B$5:B8)</f>
        <v>240.32999999999998</v>
      </c>
      <c r="J8" s="25">
        <f t="shared" si="4"/>
        <v>-303.67</v>
      </c>
      <c r="K8" s="25">
        <f>MIN($J$5:J8,0)</f>
        <v>-303.67</v>
      </c>
      <c r="L8" s="8">
        <f t="shared" si="10"/>
        <v>0</v>
      </c>
      <c r="M8" s="17">
        <f t="shared" si="5"/>
        <v>303.67</v>
      </c>
      <c r="N8" s="2">
        <f t="shared" si="6"/>
        <v>544</v>
      </c>
      <c r="O8" s="2">
        <f t="shared" si="7"/>
        <v>0</v>
      </c>
      <c r="P8" s="19">
        <f t="shared" si="8"/>
        <v>544</v>
      </c>
      <c r="Q8" s="19">
        <f t="shared" si="9"/>
        <v>303.67</v>
      </c>
    </row>
    <row r="9" spans="1:17" x14ac:dyDescent="0.25">
      <c r="A9" s="1">
        <v>136</v>
      </c>
      <c r="B9" s="1">
        <v>139.61000000000001</v>
      </c>
      <c r="C9" s="4">
        <f t="shared" si="0"/>
        <v>3.6100000000000136</v>
      </c>
      <c r="D9" s="2">
        <f t="shared" si="1"/>
        <v>0</v>
      </c>
      <c r="E9" s="2">
        <f t="shared" si="2"/>
        <v>139.61000000000001</v>
      </c>
      <c r="F9" s="2">
        <f t="shared" si="3"/>
        <v>3.6100000000000136</v>
      </c>
      <c r="H9" s="25">
        <f>SUM($A$5:A9)</f>
        <v>680</v>
      </c>
      <c r="I9" s="25">
        <f>SUM($B$5:B9)</f>
        <v>379.94</v>
      </c>
      <c r="J9" s="25">
        <f t="shared" si="4"/>
        <v>-300.06</v>
      </c>
      <c r="K9" s="25">
        <f>MIN($J$5:J9,0)</f>
        <v>-303.67</v>
      </c>
      <c r="L9" s="8">
        <f>I9-H9-K9</f>
        <v>3.6100000000000136</v>
      </c>
      <c r="M9" s="17">
        <f t="shared" si="5"/>
        <v>300.06</v>
      </c>
      <c r="N9" s="2">
        <f t="shared" si="6"/>
        <v>680</v>
      </c>
      <c r="O9" s="2">
        <f t="shared" si="7"/>
        <v>0</v>
      </c>
      <c r="P9" s="19">
        <f t="shared" si="8"/>
        <v>683.61</v>
      </c>
      <c r="Q9" s="19">
        <f t="shared" si="9"/>
        <v>303.67</v>
      </c>
    </row>
    <row r="10" spans="1:17" x14ac:dyDescent="0.25">
      <c r="A10" s="1">
        <v>136</v>
      </c>
      <c r="B10" s="1">
        <v>194.86</v>
      </c>
      <c r="C10" s="4">
        <f>IF((B10+C9)&gt;A10,(B10+C9)-A10,0)</f>
        <v>62.470000000000027</v>
      </c>
      <c r="D10" s="2">
        <f t="shared" si="1"/>
        <v>3.6100000000000136</v>
      </c>
      <c r="E10" s="2">
        <f t="shared" si="2"/>
        <v>198.47000000000003</v>
      </c>
      <c r="F10" s="2">
        <f t="shared" si="3"/>
        <v>62.470000000000027</v>
      </c>
      <c r="G10" s="2">
        <f>F10-F4</f>
        <v>62.470000000000027</v>
      </c>
      <c r="H10" s="25">
        <f>SUM($A$5:A10)</f>
        <v>816</v>
      </c>
      <c r="I10" s="25">
        <f>SUM($B$5:B10)</f>
        <v>574.79999999999995</v>
      </c>
      <c r="J10" s="25">
        <f>I10-H10</f>
        <v>-241.20000000000005</v>
      </c>
      <c r="K10" s="25">
        <f>MIN($J$5:J10,0)</f>
        <v>-303.67</v>
      </c>
      <c r="L10" s="8">
        <f t="shared" si="10"/>
        <v>62.46999999999997</v>
      </c>
      <c r="M10" s="17">
        <f>IF(J10&lt;0,-J10,0)</f>
        <v>241.20000000000005</v>
      </c>
      <c r="N10" s="2">
        <f>I10+M10</f>
        <v>816</v>
      </c>
      <c r="O10" s="2">
        <f>N10-H10</f>
        <v>0</v>
      </c>
      <c r="P10" s="19">
        <f t="shared" ref="P10:P16" si="11">C10+H10</f>
        <v>878.47</v>
      </c>
      <c r="Q10" s="19">
        <f t="shared" ref="Q10:Q16" si="12">P10-I10</f>
        <v>303.67000000000007</v>
      </c>
    </row>
    <row r="11" spans="1:17" x14ac:dyDescent="0.25">
      <c r="A11" s="1">
        <v>136</v>
      </c>
      <c r="B11" s="1">
        <v>113.35</v>
      </c>
      <c r="C11" s="4">
        <f t="shared" ref="C11:C25" si="13">IF((B11+C10)&gt;A11,(B11+C10)-A11,0)</f>
        <v>39.820000000000022</v>
      </c>
      <c r="D11" s="2">
        <f>IF((B10+D10)&gt;A10,(B10+D10)-A10,0)</f>
        <v>62.470000000000027</v>
      </c>
      <c r="E11" s="2">
        <f t="shared" ref="E11:E25" si="14">B11+D11</f>
        <v>175.82000000000002</v>
      </c>
      <c r="F11" s="2">
        <f t="shared" ref="F11:F25" si="15">E11-A11</f>
        <v>39.820000000000022</v>
      </c>
      <c r="G11" s="2">
        <f t="shared" ref="G11:G25" si="16">F11-F10</f>
        <v>-22.650000000000006</v>
      </c>
      <c r="H11" s="25">
        <f>SUM($A$5:A11)</f>
        <v>952</v>
      </c>
      <c r="I11" s="25">
        <f>SUM($B$5:B11)</f>
        <v>688.15</v>
      </c>
      <c r="J11" s="25">
        <f t="shared" ref="J11:J25" si="17">I11-H11</f>
        <v>-263.85000000000002</v>
      </c>
      <c r="K11" s="25">
        <f>MIN($J$5:J11,0)</f>
        <v>-303.67</v>
      </c>
      <c r="L11" s="8">
        <f t="shared" si="10"/>
        <v>39.819999999999993</v>
      </c>
      <c r="M11" s="17">
        <f t="shared" ref="M11:M25" si="18">IF(J11&lt;0,-J11,0)</f>
        <v>263.85000000000002</v>
      </c>
      <c r="N11" s="2">
        <f t="shared" ref="N11:N25" si="19">I11+M11</f>
        <v>952</v>
      </c>
      <c r="O11" s="2">
        <f t="shared" ref="O11:O25" si="20">N11-H11</f>
        <v>0</v>
      </c>
      <c r="P11" s="19">
        <f t="shared" si="11"/>
        <v>991.82</v>
      </c>
      <c r="Q11" s="19">
        <f t="shared" si="12"/>
        <v>303.67000000000007</v>
      </c>
    </row>
    <row r="12" spans="1:17" x14ac:dyDescent="0.25">
      <c r="A12" s="1">
        <v>136</v>
      </c>
      <c r="B12" s="1">
        <v>175.43</v>
      </c>
      <c r="C12" s="4">
        <f t="shared" si="13"/>
        <v>79.250000000000028</v>
      </c>
      <c r="D12" s="2">
        <f t="shared" ref="D12:D25" si="21">IF((B11+D11)&gt;A11,(B11+D11)-A11,0)</f>
        <v>39.820000000000022</v>
      </c>
      <c r="E12" s="2">
        <f t="shared" si="14"/>
        <v>215.25000000000003</v>
      </c>
      <c r="F12" s="2">
        <f t="shared" si="15"/>
        <v>79.250000000000028</v>
      </c>
      <c r="G12" s="2">
        <f t="shared" si="16"/>
        <v>39.430000000000007</v>
      </c>
      <c r="H12" s="25">
        <f>SUM($A$5:A12)</f>
        <v>1088</v>
      </c>
      <c r="I12" s="25">
        <f>SUM($B$5:B12)</f>
        <v>863.57999999999993</v>
      </c>
      <c r="J12" s="25">
        <f t="shared" si="17"/>
        <v>-224.42000000000007</v>
      </c>
      <c r="K12" s="25">
        <f>MIN($J$5:J12,0)</f>
        <v>-303.67</v>
      </c>
      <c r="L12" s="8">
        <f t="shared" si="10"/>
        <v>79.249999999999943</v>
      </c>
      <c r="M12" s="17">
        <f t="shared" si="18"/>
        <v>224.42000000000007</v>
      </c>
      <c r="N12" s="2">
        <f t="shared" si="19"/>
        <v>1088</v>
      </c>
      <c r="O12" s="2">
        <f t="shared" si="20"/>
        <v>0</v>
      </c>
      <c r="P12" s="19">
        <f t="shared" si="11"/>
        <v>1167.25</v>
      </c>
      <c r="Q12" s="19">
        <f t="shared" si="12"/>
        <v>303.67000000000007</v>
      </c>
    </row>
    <row r="13" spans="1:17" x14ac:dyDescent="0.25">
      <c r="A13" s="1">
        <v>136</v>
      </c>
      <c r="B13" s="1">
        <v>41.07</v>
      </c>
      <c r="C13" s="16">
        <f t="shared" si="13"/>
        <v>0</v>
      </c>
      <c r="D13" s="2">
        <f t="shared" si="21"/>
        <v>79.250000000000028</v>
      </c>
      <c r="E13" s="2">
        <f t="shared" si="14"/>
        <v>120.32000000000002</v>
      </c>
      <c r="F13" s="2">
        <f t="shared" si="15"/>
        <v>-15.679999999999978</v>
      </c>
      <c r="G13" s="2">
        <f t="shared" si="16"/>
        <v>-94.93</v>
      </c>
      <c r="H13" s="25">
        <f>SUM($A$5:A13)</f>
        <v>1224</v>
      </c>
      <c r="I13" s="25">
        <f>SUM($B$5:B13)</f>
        <v>904.65</v>
      </c>
      <c r="J13" s="25">
        <f t="shared" si="17"/>
        <v>-319.35000000000002</v>
      </c>
      <c r="K13" s="25">
        <f>MIN($J$5:J13,0)</f>
        <v>-319.35000000000002</v>
      </c>
      <c r="L13" s="23">
        <f t="shared" si="10"/>
        <v>0</v>
      </c>
      <c r="M13" s="17">
        <f t="shared" si="18"/>
        <v>319.35000000000002</v>
      </c>
      <c r="N13" s="2">
        <f t="shared" si="19"/>
        <v>1224</v>
      </c>
      <c r="O13" s="2">
        <f t="shared" si="20"/>
        <v>0</v>
      </c>
      <c r="P13" s="19">
        <f t="shared" si="11"/>
        <v>1224</v>
      </c>
      <c r="Q13" s="19">
        <f t="shared" si="12"/>
        <v>319.35000000000002</v>
      </c>
    </row>
    <row r="14" spans="1:17" s="10" customFormat="1" x14ac:dyDescent="0.25">
      <c r="A14" s="26">
        <v>136</v>
      </c>
      <c r="B14" s="26">
        <v>198.22</v>
      </c>
      <c r="C14" s="4">
        <f t="shared" si="13"/>
        <v>62.22</v>
      </c>
      <c r="D14" s="2">
        <f t="shared" si="21"/>
        <v>0</v>
      </c>
      <c r="E14" s="2">
        <f t="shared" si="14"/>
        <v>198.22</v>
      </c>
      <c r="F14" s="2">
        <f t="shared" si="15"/>
        <v>62.22</v>
      </c>
      <c r="G14" s="2">
        <f t="shared" si="16"/>
        <v>77.899999999999977</v>
      </c>
      <c r="H14" s="25">
        <f>SUM($A$5:A14)</f>
        <v>1360</v>
      </c>
      <c r="I14" s="25">
        <f>SUM($B$5:B14)</f>
        <v>1102.8699999999999</v>
      </c>
      <c r="J14" s="25">
        <f t="shared" si="17"/>
        <v>-257.13000000000011</v>
      </c>
      <c r="K14" s="25">
        <f>MIN($J$5:J14,0)</f>
        <v>-319.35000000000002</v>
      </c>
      <c r="L14" s="8">
        <f t="shared" si="10"/>
        <v>62.219999999999914</v>
      </c>
      <c r="M14" s="22">
        <f t="shared" si="18"/>
        <v>257.13000000000011</v>
      </c>
      <c r="N14" s="2">
        <f t="shared" si="19"/>
        <v>1360</v>
      </c>
      <c r="O14" s="2">
        <f t="shared" si="20"/>
        <v>0</v>
      </c>
      <c r="P14" s="19">
        <f t="shared" si="11"/>
        <v>1422.22</v>
      </c>
      <c r="Q14" s="19">
        <f t="shared" si="12"/>
        <v>319.35000000000014</v>
      </c>
    </row>
    <row r="15" spans="1:17" s="10" customFormat="1" x14ac:dyDescent="0.25">
      <c r="A15" s="26">
        <v>136</v>
      </c>
      <c r="B15" s="26">
        <v>347.31</v>
      </c>
      <c r="C15" s="4">
        <f t="shared" si="13"/>
        <v>273.52999999999997</v>
      </c>
      <c r="D15" s="2">
        <f t="shared" si="21"/>
        <v>62.22</v>
      </c>
      <c r="E15" s="2">
        <f t="shared" si="14"/>
        <v>409.53</v>
      </c>
      <c r="F15" s="2">
        <f t="shared" si="15"/>
        <v>273.52999999999997</v>
      </c>
      <c r="G15" s="2">
        <f t="shared" si="16"/>
        <v>211.30999999999997</v>
      </c>
      <c r="H15" s="25">
        <f>SUM($A$5:A15)</f>
        <v>1496</v>
      </c>
      <c r="I15" s="25">
        <f>SUM($B$5:B15)</f>
        <v>1450.1799999999998</v>
      </c>
      <c r="J15" s="25">
        <f t="shared" si="17"/>
        <v>-45.820000000000164</v>
      </c>
      <c r="K15" s="25">
        <f>MIN($J$5:J15,0)</f>
        <v>-319.35000000000002</v>
      </c>
      <c r="L15" s="8">
        <f t="shared" si="10"/>
        <v>273.52999999999986</v>
      </c>
      <c r="M15" s="22">
        <f t="shared" si="18"/>
        <v>45.820000000000164</v>
      </c>
      <c r="N15" s="2">
        <f t="shared" si="19"/>
        <v>1496</v>
      </c>
      <c r="O15" s="2">
        <f t="shared" si="20"/>
        <v>0</v>
      </c>
      <c r="P15" s="19">
        <f t="shared" si="11"/>
        <v>1769.53</v>
      </c>
      <c r="Q15" s="19">
        <f t="shared" si="12"/>
        <v>319.35000000000014</v>
      </c>
    </row>
    <row r="16" spans="1:17" s="14" customFormat="1" x14ac:dyDescent="0.25">
      <c r="A16" s="26">
        <v>136</v>
      </c>
      <c r="B16" s="26">
        <v>174.48</v>
      </c>
      <c r="C16" s="4">
        <f t="shared" si="13"/>
        <v>312.01</v>
      </c>
      <c r="D16" s="2">
        <f t="shared" si="21"/>
        <v>273.52999999999997</v>
      </c>
      <c r="E16" s="2">
        <f t="shared" si="14"/>
        <v>448.01</v>
      </c>
      <c r="F16" s="2">
        <f t="shared" si="15"/>
        <v>312.01</v>
      </c>
      <c r="G16" s="2">
        <f t="shared" si="16"/>
        <v>38.480000000000018</v>
      </c>
      <c r="H16" s="25">
        <f>SUM($A$5:A16)</f>
        <v>1632</v>
      </c>
      <c r="I16" s="25">
        <f>SUM($B$5:B16)</f>
        <v>1624.6599999999999</v>
      </c>
      <c r="J16" s="25">
        <f t="shared" si="17"/>
        <v>-7.3400000000001455</v>
      </c>
      <c r="K16" s="25">
        <f>MIN($J$5:J16,0)</f>
        <v>-319.35000000000002</v>
      </c>
      <c r="L16" s="8">
        <f t="shared" si="10"/>
        <v>312.00999999999988</v>
      </c>
      <c r="M16" s="22">
        <f t="shared" si="18"/>
        <v>7.3400000000001455</v>
      </c>
      <c r="N16" s="2">
        <f t="shared" si="19"/>
        <v>1632</v>
      </c>
      <c r="O16" s="2">
        <f t="shared" si="20"/>
        <v>0</v>
      </c>
      <c r="P16" s="19">
        <f t="shared" si="11"/>
        <v>1944.01</v>
      </c>
      <c r="Q16" s="19">
        <f t="shared" si="12"/>
        <v>319.35000000000014</v>
      </c>
    </row>
    <row r="17" spans="1:17" s="21" customFormat="1" x14ac:dyDescent="0.25">
      <c r="A17" s="18">
        <v>136</v>
      </c>
      <c r="B17" s="18">
        <v>85.07</v>
      </c>
      <c r="C17" s="18">
        <f t="shared" si="13"/>
        <v>261.08</v>
      </c>
      <c r="D17" s="19">
        <f t="shared" si="21"/>
        <v>312.01</v>
      </c>
      <c r="E17" s="19">
        <f t="shared" si="14"/>
        <v>397.08</v>
      </c>
      <c r="F17" s="19">
        <f t="shared" si="15"/>
        <v>261.08</v>
      </c>
      <c r="G17" s="19">
        <f t="shared" si="16"/>
        <v>-50.930000000000007</v>
      </c>
      <c r="H17" s="25">
        <f>SUM($A$5:A17)</f>
        <v>1768</v>
      </c>
      <c r="I17" s="25">
        <f>SUM($B$5:B17)</f>
        <v>1709.7299999999998</v>
      </c>
      <c r="J17" s="25">
        <f t="shared" si="17"/>
        <v>-58.270000000000209</v>
      </c>
      <c r="K17" s="25">
        <f>MIN($J$5:J17,0)</f>
        <v>-319.35000000000002</v>
      </c>
      <c r="L17" s="8">
        <f t="shared" si="10"/>
        <v>261.07999999999981</v>
      </c>
      <c r="M17" s="20">
        <f t="shared" si="18"/>
        <v>58.270000000000209</v>
      </c>
      <c r="N17" s="19">
        <f t="shared" si="19"/>
        <v>1768</v>
      </c>
      <c r="O17" s="19">
        <f t="shared" si="20"/>
        <v>0</v>
      </c>
      <c r="P17" s="19">
        <f>C17+H17</f>
        <v>2029.08</v>
      </c>
      <c r="Q17" s="19">
        <f>P17-I17</f>
        <v>319.35000000000014</v>
      </c>
    </row>
    <row r="18" spans="1:17" x14ac:dyDescent="0.25">
      <c r="A18" s="1">
        <v>136</v>
      </c>
      <c r="B18" s="1">
        <v>58.68</v>
      </c>
      <c r="C18" s="4">
        <f t="shared" si="13"/>
        <v>183.76</v>
      </c>
      <c r="D18" s="2">
        <f t="shared" si="21"/>
        <v>261.08</v>
      </c>
      <c r="E18" s="2">
        <f t="shared" si="14"/>
        <v>319.76</v>
      </c>
      <c r="F18" s="2">
        <f t="shared" si="15"/>
        <v>183.76</v>
      </c>
      <c r="G18" s="2">
        <f t="shared" si="16"/>
        <v>-77.319999999999993</v>
      </c>
      <c r="H18" s="25">
        <f>SUM($A$5:A18)</f>
        <v>1904</v>
      </c>
      <c r="I18" s="25">
        <f>SUM($B$5:B18)</f>
        <v>1768.4099999999999</v>
      </c>
      <c r="J18" s="25">
        <f t="shared" si="17"/>
        <v>-135.59000000000015</v>
      </c>
      <c r="K18" s="25">
        <f>MIN($J$5:J18,0)</f>
        <v>-319.35000000000002</v>
      </c>
      <c r="L18" s="8">
        <f t="shared" si="10"/>
        <v>183.75999999999988</v>
      </c>
      <c r="M18" s="17">
        <f t="shared" si="18"/>
        <v>135.59000000000015</v>
      </c>
      <c r="N18" s="2">
        <f t="shared" si="19"/>
        <v>1904</v>
      </c>
      <c r="O18" s="2">
        <f t="shared" si="20"/>
        <v>0</v>
      </c>
      <c r="P18" s="19">
        <f t="shared" ref="P18:P25" si="22">C18+H18</f>
        <v>2087.7600000000002</v>
      </c>
      <c r="Q18" s="19">
        <f t="shared" ref="Q18:Q25" si="23">P18-I18</f>
        <v>319.35000000000036</v>
      </c>
    </row>
    <row r="19" spans="1:17" x14ac:dyDescent="0.25">
      <c r="A19" s="1">
        <v>136</v>
      </c>
      <c r="B19" s="1">
        <v>30.96</v>
      </c>
      <c r="C19" s="4">
        <f t="shared" si="13"/>
        <v>78.72</v>
      </c>
      <c r="D19" s="2">
        <f t="shared" si="21"/>
        <v>183.76</v>
      </c>
      <c r="E19" s="2">
        <f t="shared" si="14"/>
        <v>214.72</v>
      </c>
      <c r="F19" s="2">
        <f t="shared" si="15"/>
        <v>78.72</v>
      </c>
      <c r="G19" s="2">
        <f t="shared" si="16"/>
        <v>-105.03999999999999</v>
      </c>
      <c r="H19" s="25">
        <f>SUM($A$5:A19)</f>
        <v>2040</v>
      </c>
      <c r="I19" s="25">
        <f>SUM($B$5:B19)</f>
        <v>1799.37</v>
      </c>
      <c r="J19" s="25">
        <f t="shared" si="17"/>
        <v>-240.63000000000011</v>
      </c>
      <c r="K19" s="25">
        <f>MIN($J$5:J19,0)</f>
        <v>-319.35000000000002</v>
      </c>
      <c r="L19" s="8">
        <f t="shared" si="10"/>
        <v>78.719999999999914</v>
      </c>
      <c r="M19" s="17">
        <f t="shared" si="18"/>
        <v>240.63000000000011</v>
      </c>
      <c r="N19" s="2">
        <f t="shared" si="19"/>
        <v>2040</v>
      </c>
      <c r="O19" s="2">
        <f t="shared" si="20"/>
        <v>0</v>
      </c>
      <c r="P19" s="19">
        <f t="shared" si="22"/>
        <v>2118.7199999999998</v>
      </c>
      <c r="Q19" s="19">
        <f t="shared" si="23"/>
        <v>319.34999999999991</v>
      </c>
    </row>
    <row r="20" spans="1:17" x14ac:dyDescent="0.25">
      <c r="A20" s="1"/>
      <c r="B20" s="1">
        <v>37.159999999999997</v>
      </c>
      <c r="C20" s="27">
        <f t="shared" si="13"/>
        <v>115.88</v>
      </c>
      <c r="D20" s="2">
        <f t="shared" si="21"/>
        <v>78.72</v>
      </c>
      <c r="E20" s="2">
        <f t="shared" si="14"/>
        <v>115.88</v>
      </c>
      <c r="F20" s="2">
        <f t="shared" si="15"/>
        <v>115.88</v>
      </c>
      <c r="G20" s="2">
        <f t="shared" si="16"/>
        <v>37.159999999999997</v>
      </c>
      <c r="H20" s="25">
        <f>SUM($A$5:A20)</f>
        <v>2040</v>
      </c>
      <c r="I20" s="25">
        <f>SUM($B$5:B20)</f>
        <v>1836.53</v>
      </c>
      <c r="J20" s="25">
        <f t="shared" si="17"/>
        <v>-203.47000000000003</v>
      </c>
      <c r="K20" s="25">
        <f>MIN($J$5:J20,0)</f>
        <v>-319.35000000000002</v>
      </c>
      <c r="L20" s="28">
        <f t="shared" si="10"/>
        <v>115.88</v>
      </c>
      <c r="M20" s="17">
        <f t="shared" si="18"/>
        <v>203.47000000000003</v>
      </c>
      <c r="N20" s="2">
        <f t="shared" si="19"/>
        <v>2040</v>
      </c>
      <c r="O20" s="2">
        <f t="shared" si="20"/>
        <v>0</v>
      </c>
      <c r="P20" s="19">
        <f t="shared" si="22"/>
        <v>2155.88</v>
      </c>
      <c r="Q20" s="19">
        <f t="shared" si="23"/>
        <v>319.35000000000014</v>
      </c>
    </row>
    <row r="21" spans="1:17" x14ac:dyDescent="0.25">
      <c r="A21" s="1"/>
      <c r="B21" s="1">
        <v>54.63</v>
      </c>
      <c r="C21" s="27">
        <f t="shared" si="13"/>
        <v>170.51</v>
      </c>
      <c r="D21" s="2">
        <f t="shared" si="21"/>
        <v>115.88</v>
      </c>
      <c r="E21" s="2">
        <f t="shared" si="14"/>
        <v>170.51</v>
      </c>
      <c r="F21" s="2">
        <f t="shared" si="15"/>
        <v>170.51</v>
      </c>
      <c r="G21" s="2">
        <f t="shared" si="16"/>
        <v>54.629999999999995</v>
      </c>
      <c r="H21" s="25">
        <f>SUM($A$5:A21)</f>
        <v>2040</v>
      </c>
      <c r="I21" s="25">
        <f>SUM($B$5:B21)</f>
        <v>1891.16</v>
      </c>
      <c r="J21" s="25">
        <f t="shared" si="17"/>
        <v>-148.83999999999992</v>
      </c>
      <c r="K21" s="25">
        <f>MIN($J$5:J21,0)</f>
        <v>-319.35000000000002</v>
      </c>
      <c r="L21" s="28">
        <f t="shared" si="10"/>
        <v>170.5100000000001</v>
      </c>
      <c r="M21" s="17">
        <f t="shared" si="18"/>
        <v>148.83999999999992</v>
      </c>
      <c r="N21" s="2">
        <f t="shared" si="19"/>
        <v>2040</v>
      </c>
      <c r="O21" s="2">
        <f t="shared" si="20"/>
        <v>0</v>
      </c>
      <c r="P21" s="19">
        <f t="shared" si="22"/>
        <v>2210.5100000000002</v>
      </c>
      <c r="Q21" s="19">
        <f t="shared" si="23"/>
        <v>319.35000000000014</v>
      </c>
    </row>
    <row r="22" spans="1:17" x14ac:dyDescent="0.25">
      <c r="A22" s="1"/>
      <c r="B22" s="1">
        <v>29.67</v>
      </c>
      <c r="C22" s="27">
        <f t="shared" si="13"/>
        <v>200.18</v>
      </c>
      <c r="D22" s="2">
        <f t="shared" si="21"/>
        <v>170.51</v>
      </c>
      <c r="E22" s="2">
        <f t="shared" si="14"/>
        <v>200.18</v>
      </c>
      <c r="F22" s="2">
        <f t="shared" si="15"/>
        <v>200.18</v>
      </c>
      <c r="G22" s="2">
        <f t="shared" si="16"/>
        <v>29.670000000000016</v>
      </c>
      <c r="H22" s="25">
        <f>SUM($A$5:A22)</f>
        <v>2040</v>
      </c>
      <c r="I22" s="25">
        <f>SUM($B$5:B22)</f>
        <v>1920.8300000000002</v>
      </c>
      <c r="J22" s="25">
        <f t="shared" si="17"/>
        <v>-119.16999999999985</v>
      </c>
      <c r="K22" s="25">
        <f>MIN($J$5:J22,0)</f>
        <v>-319.35000000000002</v>
      </c>
      <c r="L22" s="28">
        <f t="shared" si="10"/>
        <v>200.18000000000018</v>
      </c>
      <c r="M22" s="17">
        <f t="shared" si="18"/>
        <v>119.16999999999985</v>
      </c>
      <c r="N22" s="2">
        <f t="shared" si="19"/>
        <v>2040</v>
      </c>
      <c r="O22" s="2">
        <f t="shared" si="20"/>
        <v>0</v>
      </c>
      <c r="P22" s="19">
        <f t="shared" si="22"/>
        <v>2240.1799999999998</v>
      </c>
      <c r="Q22" s="19">
        <f t="shared" si="23"/>
        <v>319.34999999999968</v>
      </c>
    </row>
    <row r="23" spans="1:17" x14ac:dyDescent="0.25">
      <c r="A23" s="1"/>
      <c r="B23" s="1">
        <v>42.95</v>
      </c>
      <c r="C23" s="27">
        <f t="shared" si="13"/>
        <v>243.13</v>
      </c>
      <c r="D23" s="2">
        <f t="shared" si="21"/>
        <v>200.18</v>
      </c>
      <c r="E23" s="2">
        <f t="shared" si="14"/>
        <v>243.13</v>
      </c>
      <c r="F23" s="2">
        <f t="shared" si="15"/>
        <v>243.13</v>
      </c>
      <c r="G23" s="2">
        <f t="shared" si="16"/>
        <v>42.949999999999989</v>
      </c>
      <c r="H23" s="25">
        <f>SUM($A$5:A23)</f>
        <v>2040</v>
      </c>
      <c r="I23" s="25">
        <f>SUM($B$5:B23)</f>
        <v>1963.7800000000002</v>
      </c>
      <c r="J23" s="25">
        <f t="shared" si="17"/>
        <v>-76.2199999999998</v>
      </c>
      <c r="K23" s="25">
        <f>MIN($J$5:J23,0)</f>
        <v>-319.35000000000002</v>
      </c>
      <c r="L23" s="28">
        <f t="shared" si="10"/>
        <v>243.13000000000022</v>
      </c>
      <c r="M23" s="17">
        <f t="shared" si="18"/>
        <v>76.2199999999998</v>
      </c>
      <c r="N23" s="2">
        <f t="shared" si="19"/>
        <v>2040</v>
      </c>
      <c r="O23" s="2">
        <f t="shared" si="20"/>
        <v>0</v>
      </c>
      <c r="P23" s="19">
        <f t="shared" si="22"/>
        <v>2283.13</v>
      </c>
      <c r="Q23" s="19">
        <f t="shared" si="23"/>
        <v>319.34999999999991</v>
      </c>
    </row>
    <row r="24" spans="1:17" x14ac:dyDescent="0.25">
      <c r="A24" s="1"/>
      <c r="B24" s="1">
        <v>19.25</v>
      </c>
      <c r="C24" s="27">
        <f t="shared" si="13"/>
        <v>262.38</v>
      </c>
      <c r="D24" s="2">
        <f t="shared" si="21"/>
        <v>243.13</v>
      </c>
      <c r="E24" s="2">
        <f t="shared" si="14"/>
        <v>262.38</v>
      </c>
      <c r="F24" s="2">
        <f t="shared" si="15"/>
        <v>262.38</v>
      </c>
      <c r="G24" s="2">
        <f t="shared" si="16"/>
        <v>19.25</v>
      </c>
      <c r="H24" s="25">
        <f>SUM($A$5:A24)</f>
        <v>2040</v>
      </c>
      <c r="I24" s="25">
        <f>SUM($B$5:B24)</f>
        <v>1983.0300000000002</v>
      </c>
      <c r="J24" s="25">
        <f t="shared" si="17"/>
        <v>-56.9699999999998</v>
      </c>
      <c r="K24" s="25">
        <f>MIN($J$5:J24,0)</f>
        <v>-319.35000000000002</v>
      </c>
      <c r="L24" s="28">
        <f t="shared" si="10"/>
        <v>262.38000000000022</v>
      </c>
      <c r="M24" s="17">
        <f t="shared" si="18"/>
        <v>56.9699999999998</v>
      </c>
      <c r="N24" s="2">
        <f t="shared" si="19"/>
        <v>2040</v>
      </c>
      <c r="O24" s="2">
        <f t="shared" si="20"/>
        <v>0</v>
      </c>
      <c r="P24" s="19">
        <f t="shared" si="22"/>
        <v>2302.38</v>
      </c>
      <c r="Q24" s="19">
        <f t="shared" si="23"/>
        <v>319.34999999999991</v>
      </c>
    </row>
    <row r="25" spans="1:17" x14ac:dyDescent="0.25">
      <c r="A25" s="1"/>
      <c r="B25" s="1">
        <v>9.6999999999999993</v>
      </c>
      <c r="C25" s="27">
        <f t="shared" si="13"/>
        <v>272.08</v>
      </c>
      <c r="D25" s="2">
        <f t="shared" si="21"/>
        <v>262.38</v>
      </c>
      <c r="E25" s="2">
        <f t="shared" si="14"/>
        <v>272.08</v>
      </c>
      <c r="F25" s="2">
        <f t="shared" si="15"/>
        <v>272.08</v>
      </c>
      <c r="G25" s="2">
        <f t="shared" si="16"/>
        <v>9.6999999999999886</v>
      </c>
      <c r="H25" s="25">
        <f>SUM($A$5:A25)</f>
        <v>2040</v>
      </c>
      <c r="I25" s="25">
        <f>SUM($B$5:B25)</f>
        <v>1992.7300000000002</v>
      </c>
      <c r="J25" s="25">
        <f t="shared" si="17"/>
        <v>-47.269999999999754</v>
      </c>
      <c r="K25" s="25">
        <f>MIN($J$5:J25,0)</f>
        <v>-319.35000000000002</v>
      </c>
      <c r="L25" s="28">
        <f t="shared" si="10"/>
        <v>272.08000000000027</v>
      </c>
      <c r="M25" s="17">
        <f t="shared" si="18"/>
        <v>47.269999999999754</v>
      </c>
      <c r="N25" s="2">
        <f t="shared" si="19"/>
        <v>2040</v>
      </c>
      <c r="O25" s="2">
        <f t="shared" si="20"/>
        <v>0</v>
      </c>
      <c r="P25" s="19">
        <f t="shared" si="22"/>
        <v>2312.08</v>
      </c>
      <c r="Q25" s="19">
        <f t="shared" si="23"/>
        <v>319.34999999999968</v>
      </c>
    </row>
    <row r="26" spans="1:17" x14ac:dyDescent="0.25">
      <c r="A26" s="1"/>
      <c r="B26" s="15"/>
      <c r="C26" s="16"/>
      <c r="D26" s="2"/>
      <c r="E26" s="2"/>
      <c r="F26" s="2"/>
      <c r="G26" s="2"/>
      <c r="H26" s="25"/>
      <c r="I26" s="25"/>
      <c r="J26" s="25"/>
      <c r="K26" s="25"/>
      <c r="L26" s="23"/>
      <c r="M26" s="22"/>
      <c r="N26" s="2"/>
      <c r="O26" s="2"/>
      <c r="P26" s="19"/>
      <c r="Q26" s="19"/>
    </row>
    <row r="27" spans="1:17" x14ac:dyDescent="0.25">
      <c r="A27" s="1"/>
      <c r="B27" s="1"/>
      <c r="C27" s="4"/>
      <c r="D27" s="2"/>
      <c r="E27" s="2"/>
      <c r="F27" s="2"/>
      <c r="G27" s="2"/>
      <c r="H27" s="25"/>
      <c r="I27" s="25"/>
      <c r="J27" s="25"/>
      <c r="K27" s="25"/>
      <c r="L27" s="8"/>
      <c r="M27" s="17"/>
      <c r="N27" s="2"/>
      <c r="O27" s="2"/>
      <c r="P27" s="19"/>
      <c r="Q27" s="19"/>
    </row>
    <row r="28" spans="1:17" x14ac:dyDescent="0.25">
      <c r="A28" s="1"/>
      <c r="B28" s="1"/>
      <c r="C28" s="4"/>
      <c r="D28" s="2"/>
      <c r="E28" s="2"/>
      <c r="F28" s="2"/>
      <c r="G28" s="2"/>
      <c r="H28" s="25"/>
      <c r="I28" s="25"/>
      <c r="J28" s="25"/>
      <c r="K28" s="25"/>
      <c r="L28" s="8"/>
      <c r="M28" s="17"/>
      <c r="N28" s="2"/>
      <c r="O28" s="2"/>
      <c r="P28" s="19"/>
      <c r="Q28" s="19"/>
    </row>
    <row r="29" spans="1:17" x14ac:dyDescent="0.25">
      <c r="A29" s="1"/>
      <c r="B29" s="1"/>
      <c r="C29" s="4"/>
      <c r="D29" s="2"/>
      <c r="E29" s="2"/>
      <c r="F29" s="2"/>
      <c r="G29" s="2"/>
      <c r="H29" s="25"/>
      <c r="I29" s="25"/>
      <c r="J29" s="25"/>
      <c r="K29" s="25"/>
      <c r="L29" s="8"/>
      <c r="M29" s="17"/>
      <c r="N29" s="2"/>
      <c r="O29" s="2"/>
      <c r="P29" s="19"/>
      <c r="Q29" s="19"/>
    </row>
    <row r="30" spans="1:17" x14ac:dyDescent="0.25">
      <c r="A30" s="1"/>
      <c r="B30" s="1"/>
      <c r="C30" s="4"/>
      <c r="D30" s="2"/>
      <c r="E30" s="2"/>
      <c r="F30" s="2"/>
      <c r="G30" s="2"/>
      <c r="H30" s="25"/>
      <c r="I30" s="25"/>
      <c r="J30" s="25"/>
      <c r="K30" s="25"/>
      <c r="L30" s="8"/>
      <c r="M30" s="17"/>
      <c r="N30" s="2"/>
      <c r="O30" s="2"/>
      <c r="P30" s="19"/>
      <c r="Q30" s="19"/>
    </row>
    <row r="31" spans="1:17" x14ac:dyDescent="0.25">
      <c r="A31" s="1"/>
      <c r="B31" s="1"/>
      <c r="C31" s="4"/>
      <c r="D31" s="2"/>
      <c r="E31" s="2"/>
      <c r="F31" s="2"/>
      <c r="G31" s="2"/>
      <c r="H31" s="25"/>
      <c r="I31" s="25"/>
      <c r="J31" s="25"/>
      <c r="K31" s="25"/>
      <c r="L31" s="8"/>
      <c r="M31" s="17"/>
      <c r="N31" s="2"/>
      <c r="O31" s="2"/>
      <c r="P31" s="19"/>
      <c r="Q31" s="19"/>
    </row>
    <row r="32" spans="1:17" x14ac:dyDescent="0.25">
      <c r="A32" s="1"/>
      <c r="B32" s="1"/>
      <c r="C32" s="4"/>
      <c r="D32" s="2"/>
      <c r="E32" s="2"/>
      <c r="F32" s="2"/>
      <c r="G32" s="2"/>
      <c r="H32" s="25"/>
      <c r="I32" s="25"/>
      <c r="J32" s="25"/>
      <c r="K32" s="25"/>
      <c r="L32" s="8"/>
      <c r="M32" s="17"/>
      <c r="N32" s="2"/>
      <c r="O32" s="2"/>
      <c r="P32" s="19"/>
      <c r="Q32" s="19"/>
    </row>
    <row r="33" spans="1:17" x14ac:dyDescent="0.25">
      <c r="A33" s="1"/>
      <c r="B33" s="1"/>
      <c r="C33" s="4"/>
      <c r="D33" s="2"/>
      <c r="E33" s="2"/>
      <c r="F33" s="2"/>
      <c r="G33" s="2"/>
      <c r="H33" s="25"/>
      <c r="I33" s="25"/>
      <c r="J33" s="25"/>
      <c r="K33" s="25"/>
      <c r="L33" s="8"/>
      <c r="M33" s="17"/>
      <c r="N33" s="2"/>
      <c r="O33" s="2"/>
      <c r="P33" s="19"/>
      <c r="Q33" s="19"/>
    </row>
    <row r="34" spans="1:17" x14ac:dyDescent="0.25">
      <c r="A34" s="1"/>
      <c r="B34" s="1"/>
      <c r="C34" s="4"/>
      <c r="D34" s="2"/>
      <c r="E34" s="2"/>
      <c r="F34" s="2"/>
      <c r="G34" s="2"/>
      <c r="H34" s="25"/>
      <c r="I34" s="25"/>
      <c r="J34" s="25"/>
      <c r="K34" s="25"/>
      <c r="L34" s="8"/>
      <c r="M34" s="17"/>
      <c r="N34" s="2"/>
      <c r="O34" s="2"/>
      <c r="P34" s="19"/>
      <c r="Q34" s="19"/>
    </row>
    <row r="35" spans="1:17" x14ac:dyDescent="0.25">
      <c r="A35" s="1"/>
      <c r="B35" s="1"/>
      <c r="C35" s="4"/>
      <c r="D35" s="2"/>
      <c r="E35" s="2"/>
      <c r="F35" s="2"/>
      <c r="G35" s="2"/>
      <c r="H35" s="25"/>
      <c r="I35" s="25"/>
      <c r="J35" s="25"/>
      <c r="K35" s="25"/>
      <c r="L35" s="8"/>
      <c r="M35" s="17"/>
      <c r="N35" s="2"/>
      <c r="O35" s="2"/>
      <c r="P35" s="19"/>
      <c r="Q35" s="19"/>
    </row>
    <row r="36" spans="1:17" x14ac:dyDescent="0.25">
      <c r="A36" s="1"/>
      <c r="B36" s="1"/>
      <c r="C36" s="16"/>
      <c r="D36" s="2"/>
      <c r="E36" s="2"/>
      <c r="F36" s="2"/>
      <c r="G36" s="2"/>
      <c r="H36" s="25"/>
      <c r="I36" s="25"/>
      <c r="J36" s="25"/>
      <c r="K36" s="25"/>
      <c r="L36" s="23"/>
      <c r="M36" s="22"/>
      <c r="N36" s="2"/>
      <c r="O36" s="2"/>
      <c r="P36" s="19"/>
      <c r="Q36" s="19"/>
    </row>
    <row r="37" spans="1:17" x14ac:dyDescent="0.25">
      <c r="A37" s="1"/>
      <c r="B37" s="1"/>
      <c r="C37" s="16"/>
      <c r="D37" s="2"/>
      <c r="E37" s="2"/>
      <c r="F37" s="2"/>
      <c r="G37" s="2"/>
      <c r="H37" s="25"/>
      <c r="I37" s="25"/>
      <c r="J37" s="25"/>
      <c r="K37" s="25"/>
      <c r="L37" s="23"/>
      <c r="M37" s="22"/>
      <c r="N37" s="2"/>
      <c r="O37" s="2"/>
      <c r="P37" s="19"/>
      <c r="Q37" s="19"/>
    </row>
    <row r="38" spans="1:17" x14ac:dyDescent="0.25">
      <c r="A38" s="1"/>
      <c r="B38" s="1"/>
      <c r="C38" s="16"/>
      <c r="D38" s="2"/>
      <c r="E38" s="2"/>
      <c r="F38" s="2"/>
      <c r="G38" s="2"/>
      <c r="H38" s="25"/>
      <c r="I38" s="25"/>
      <c r="J38" s="25"/>
      <c r="K38" s="25"/>
      <c r="L38" s="23"/>
      <c r="M38" s="22"/>
      <c r="N38" s="2"/>
      <c r="O38" s="2"/>
      <c r="P38" s="19"/>
      <c r="Q38" s="19"/>
    </row>
    <row r="39" spans="1:17" x14ac:dyDescent="0.25">
      <c r="A39" s="1"/>
      <c r="B39" s="1"/>
      <c r="C39" s="16"/>
      <c r="D39" s="2"/>
      <c r="E39" s="2"/>
      <c r="F39" s="2"/>
      <c r="G39" s="2"/>
      <c r="H39" s="25"/>
      <c r="I39" s="25"/>
      <c r="J39" s="25"/>
      <c r="K39" s="25"/>
      <c r="L39" s="23"/>
      <c r="M39" s="22"/>
      <c r="N39" s="2"/>
      <c r="O39" s="2"/>
      <c r="P39" s="19"/>
      <c r="Q39" s="19"/>
    </row>
  </sheetData>
  <conditionalFormatting sqref="F1:F1048576">
    <cfRule type="cellIs" dxfId="10" priority="2" operator="lessThan">
      <formula>0</formula>
    </cfRule>
  </conditionalFormatting>
  <conditionalFormatting sqref="J1:L1048576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D06B-4788-4806-BDCC-340BF14E5972}">
  <dimension ref="A1:Q34"/>
  <sheetViews>
    <sheetView zoomScaleNormal="100" workbookViewId="0">
      <selection activeCell="K10" sqref="K10"/>
    </sheetView>
  </sheetViews>
  <sheetFormatPr defaultRowHeight="15" x14ac:dyDescent="0.25"/>
  <cols>
    <col min="1" max="1" width="10.28515625" bestFit="1" customWidth="1"/>
    <col min="2" max="3" width="9.5703125" bestFit="1" customWidth="1"/>
    <col min="4" max="6" width="9.5703125" hidden="1" customWidth="1"/>
    <col min="7" max="7" width="15.140625" hidden="1" customWidth="1"/>
    <col min="8" max="8" width="11.42578125" bestFit="1" customWidth="1"/>
    <col min="9" max="9" width="11.5703125" bestFit="1" customWidth="1"/>
    <col min="10" max="10" width="11.7109375" bestFit="1" customWidth="1"/>
    <col min="14" max="14" width="10" bestFit="1" customWidth="1"/>
    <col min="16" max="16" width="10" bestFit="1" customWidth="1"/>
  </cols>
  <sheetData>
    <row r="1" spans="1:17" x14ac:dyDescent="0.25">
      <c r="A1" t="s">
        <v>3</v>
      </c>
      <c r="B1" t="s">
        <v>4</v>
      </c>
      <c r="C1" t="s">
        <v>5</v>
      </c>
    </row>
    <row r="2" spans="1:17" x14ac:dyDescent="0.25">
      <c r="A2" t="s">
        <v>2</v>
      </c>
      <c r="B2" t="s">
        <v>0</v>
      </c>
      <c r="C2" t="s">
        <v>1</v>
      </c>
    </row>
    <row r="3" spans="1:17" x14ac:dyDescent="0.25">
      <c r="A3" t="s">
        <v>9</v>
      </c>
      <c r="E3" s="3" t="s">
        <v>6</v>
      </c>
    </row>
    <row r="4" spans="1:17" x14ac:dyDescent="0.25">
      <c r="A4" s="1">
        <v>0</v>
      </c>
      <c r="B4" s="1">
        <v>0</v>
      </c>
      <c r="C4" s="4">
        <f>IF((B4+C3)&gt;A4,(B4+C3)-A4,0)</f>
        <v>0</v>
      </c>
      <c r="D4" s="2">
        <f t="shared" ref="D4:D5" si="0">IF((B3+D3)&gt;A3,(B3+D3)-A3,0)</f>
        <v>0</v>
      </c>
      <c r="E4" s="2">
        <f>B4+C3</f>
        <v>0</v>
      </c>
      <c r="F4" s="2">
        <f>E4-A4</f>
        <v>0</v>
      </c>
      <c r="H4" s="24" t="s">
        <v>10</v>
      </c>
      <c r="I4" s="24" t="s">
        <v>11</v>
      </c>
      <c r="J4" s="24" t="s">
        <v>12</v>
      </c>
      <c r="K4" s="24" t="s">
        <v>13</v>
      </c>
    </row>
    <row r="5" spans="1:17" x14ac:dyDescent="0.25">
      <c r="A5" s="1">
        <v>136</v>
      </c>
      <c r="B5" s="1">
        <v>139.30779999999999</v>
      </c>
      <c r="C5" s="4">
        <f t="shared" ref="C5:C34" si="1">IF((B5+C4)&gt;A5,(B5+C4)-A5,0)</f>
        <v>3.3077999999999861</v>
      </c>
      <c r="D5" s="2">
        <f t="shared" si="0"/>
        <v>0</v>
      </c>
      <c r="E5" s="2">
        <f>B5+D5</f>
        <v>139.30779999999999</v>
      </c>
      <c r="F5" s="2">
        <f t="shared" ref="F5:F34" si="2">E5-A5</f>
        <v>3.3077999999999861</v>
      </c>
      <c r="G5" s="2">
        <f>F5-F4</f>
        <v>3.3077999999999861</v>
      </c>
      <c r="H5" s="25">
        <f>SUM($A$5:A5)</f>
        <v>136</v>
      </c>
      <c r="I5" s="25">
        <f>SUM($B$5:B5)</f>
        <v>139.30779999999999</v>
      </c>
      <c r="J5" s="25">
        <f>I5-H5</f>
        <v>3.3077999999999861</v>
      </c>
      <c r="K5" s="25">
        <f>MIN($J$5:J5,0)</f>
        <v>0</v>
      </c>
      <c r="L5" s="29">
        <f>I5-H5-K5</f>
        <v>3.3077999999999861</v>
      </c>
      <c r="M5" s="17">
        <f>IF(J5&lt;0,-J5,0)</f>
        <v>0</v>
      </c>
      <c r="N5" s="2">
        <f>I5+M5</f>
        <v>139.30779999999999</v>
      </c>
      <c r="O5" s="2">
        <f>N5-H5</f>
        <v>3.3077999999999861</v>
      </c>
      <c r="P5" s="19">
        <f t="shared" ref="P5:P8" si="3">C5+H5</f>
        <v>139.30779999999999</v>
      </c>
      <c r="Q5" s="19">
        <f t="shared" ref="Q5:Q8" si="4">P5-I5</f>
        <v>0</v>
      </c>
    </row>
    <row r="6" spans="1:17" x14ac:dyDescent="0.25">
      <c r="A6" s="1">
        <v>136</v>
      </c>
      <c r="B6" s="1">
        <v>168.965</v>
      </c>
      <c r="C6" s="4">
        <f t="shared" si="1"/>
        <v>36.272799999999989</v>
      </c>
      <c r="D6" s="2">
        <f>IF((B5+D5)&gt;A5,(B5+D5)-A5,0)</f>
        <v>3.3077999999999861</v>
      </c>
      <c r="E6" s="2">
        <f t="shared" ref="E6:E34" si="5">B6+D6</f>
        <v>172.27279999999999</v>
      </c>
      <c r="F6" s="2">
        <f t="shared" si="2"/>
        <v>36.272799999999989</v>
      </c>
      <c r="G6" s="2">
        <f t="shared" ref="G6:G34" si="6">F6-F5</f>
        <v>32.965000000000003</v>
      </c>
      <c r="H6" s="25">
        <f>SUM($A$5:A6)</f>
        <v>272</v>
      </c>
      <c r="I6" s="25">
        <f>SUM($B$5:B6)</f>
        <v>308.27279999999996</v>
      </c>
      <c r="J6" s="25">
        <f t="shared" ref="J6:J34" si="7">I6-H6</f>
        <v>36.272799999999961</v>
      </c>
      <c r="K6" s="25">
        <f>MIN($J$5:J6,0)</f>
        <v>0</v>
      </c>
      <c r="L6" s="29">
        <f t="shared" ref="L6:L34" si="8">I6-H6-K6</f>
        <v>36.272799999999961</v>
      </c>
      <c r="M6" s="17">
        <f t="shared" ref="M6:M34" si="9">IF(J6&lt;0,-J6,0)</f>
        <v>0</v>
      </c>
      <c r="N6" s="2">
        <f t="shared" ref="N6:N34" si="10">I6+M6</f>
        <v>308.27279999999996</v>
      </c>
      <c r="O6" s="2">
        <f t="shared" ref="O6:O34" si="11">N6-H6</f>
        <v>36.272799999999961</v>
      </c>
      <c r="P6" s="19">
        <f t="shared" si="3"/>
        <v>308.27279999999996</v>
      </c>
      <c r="Q6" s="19">
        <f t="shared" si="4"/>
        <v>0</v>
      </c>
    </row>
    <row r="7" spans="1:17" x14ac:dyDescent="0.25">
      <c r="A7" s="1">
        <v>136</v>
      </c>
      <c r="B7" s="1">
        <v>104.5967</v>
      </c>
      <c r="C7" s="4">
        <f t="shared" si="1"/>
        <v>4.8694999999999879</v>
      </c>
      <c r="D7" s="2">
        <f t="shared" ref="D7:D34" si="12">IF((B6+D6)&gt;A6,(B6+D6)-A6,0)</f>
        <v>36.272799999999989</v>
      </c>
      <c r="E7" s="2">
        <f t="shared" si="5"/>
        <v>140.86949999999999</v>
      </c>
      <c r="F7" s="2">
        <f t="shared" si="2"/>
        <v>4.8694999999999879</v>
      </c>
      <c r="G7" s="2">
        <f t="shared" si="6"/>
        <v>-31.403300000000002</v>
      </c>
      <c r="H7" s="25">
        <f>SUM($A$5:A7)</f>
        <v>408</v>
      </c>
      <c r="I7" s="25">
        <f>SUM($B$5:B7)</f>
        <v>412.86949999999996</v>
      </c>
      <c r="J7" s="25">
        <f t="shared" si="7"/>
        <v>4.8694999999999595</v>
      </c>
      <c r="K7" s="25">
        <f>MIN($J$5:J7,0)</f>
        <v>0</v>
      </c>
      <c r="L7" s="29">
        <f t="shared" si="8"/>
        <v>4.8694999999999595</v>
      </c>
      <c r="M7" s="17">
        <f t="shared" si="9"/>
        <v>0</v>
      </c>
      <c r="N7" s="2">
        <f t="shared" si="10"/>
        <v>412.86949999999996</v>
      </c>
      <c r="O7" s="2">
        <f t="shared" si="11"/>
        <v>4.8694999999999595</v>
      </c>
      <c r="P7" s="19">
        <f t="shared" si="3"/>
        <v>412.86950000000002</v>
      </c>
      <c r="Q7" s="19">
        <f t="shared" si="4"/>
        <v>0</v>
      </c>
    </row>
    <row r="8" spans="1:17" x14ac:dyDescent="0.25">
      <c r="A8" s="1">
        <v>136</v>
      </c>
      <c r="B8" s="1">
        <v>198.73330000000001</v>
      </c>
      <c r="C8" s="4">
        <f t="shared" si="1"/>
        <v>67.602800000000002</v>
      </c>
      <c r="D8" s="2">
        <f t="shared" si="12"/>
        <v>4.8694999999999879</v>
      </c>
      <c r="E8" s="2">
        <f t="shared" si="5"/>
        <v>203.6028</v>
      </c>
      <c r="F8" s="2">
        <f t="shared" si="2"/>
        <v>67.602800000000002</v>
      </c>
      <c r="G8" s="2">
        <f t="shared" si="6"/>
        <v>62.733300000000014</v>
      </c>
      <c r="H8" s="25">
        <f>SUM($A$5:A8)</f>
        <v>544</v>
      </c>
      <c r="I8" s="25">
        <f>SUM($B$5:B8)</f>
        <v>611.6028</v>
      </c>
      <c r="J8" s="25">
        <f t="shared" si="7"/>
        <v>67.602800000000002</v>
      </c>
      <c r="K8" s="25">
        <f>MIN($J$5:J8,0)</f>
        <v>0</v>
      </c>
      <c r="L8" s="29">
        <f t="shared" si="8"/>
        <v>67.602800000000002</v>
      </c>
      <c r="M8" s="17">
        <f t="shared" si="9"/>
        <v>0</v>
      </c>
      <c r="N8" s="2">
        <f t="shared" si="10"/>
        <v>611.6028</v>
      </c>
      <c r="O8" s="2">
        <f t="shared" si="11"/>
        <v>67.602800000000002</v>
      </c>
      <c r="P8" s="19">
        <f t="shared" si="3"/>
        <v>611.6028</v>
      </c>
      <c r="Q8" s="19">
        <f t="shared" si="4"/>
        <v>0</v>
      </c>
    </row>
    <row r="9" spans="1:17" s="10" customFormat="1" x14ac:dyDescent="0.25">
      <c r="A9" s="4">
        <v>136</v>
      </c>
      <c r="B9" s="15">
        <v>20</v>
      </c>
      <c r="C9" s="16">
        <f t="shared" si="1"/>
        <v>0</v>
      </c>
      <c r="D9" s="2">
        <f t="shared" si="12"/>
        <v>67.602800000000002</v>
      </c>
      <c r="E9" s="2">
        <f t="shared" si="5"/>
        <v>87.602800000000002</v>
      </c>
      <c r="F9" s="2">
        <f t="shared" si="2"/>
        <v>-48.397199999999998</v>
      </c>
      <c r="G9" s="8">
        <f t="shared" si="6"/>
        <v>-116</v>
      </c>
      <c r="H9" s="25">
        <f>SUM($A$5:A9)</f>
        <v>680</v>
      </c>
      <c r="I9" s="25">
        <f>SUM($B$5:B9)</f>
        <v>631.6028</v>
      </c>
      <c r="J9" s="25">
        <f t="shared" si="7"/>
        <v>-48.397199999999998</v>
      </c>
      <c r="K9" s="25">
        <f>MIN($J$5:J9,0)</f>
        <v>-48.397199999999998</v>
      </c>
      <c r="L9" s="29">
        <f t="shared" si="8"/>
        <v>0</v>
      </c>
      <c r="M9" s="22">
        <f t="shared" si="9"/>
        <v>48.397199999999998</v>
      </c>
      <c r="N9" s="2">
        <f t="shared" si="10"/>
        <v>680</v>
      </c>
      <c r="O9" s="2">
        <f t="shared" si="11"/>
        <v>0</v>
      </c>
      <c r="P9" s="19">
        <f t="shared" ref="P9:P11" si="13">C9+H9</f>
        <v>680</v>
      </c>
      <c r="Q9" s="19">
        <f t="shared" ref="Q9:Q11" si="14">P9-I9</f>
        <v>48.397199999999998</v>
      </c>
    </row>
    <row r="10" spans="1:17" s="10" customFormat="1" x14ac:dyDescent="0.25">
      <c r="A10" s="4">
        <v>136</v>
      </c>
      <c r="B10" s="4">
        <v>113.4503</v>
      </c>
      <c r="C10" s="16">
        <f t="shared" si="1"/>
        <v>0</v>
      </c>
      <c r="D10" s="2">
        <f t="shared" si="12"/>
        <v>0</v>
      </c>
      <c r="E10" s="2">
        <f t="shared" si="5"/>
        <v>113.4503</v>
      </c>
      <c r="F10" s="2">
        <f t="shared" si="2"/>
        <v>-22.549700000000001</v>
      </c>
      <c r="G10" s="8">
        <f t="shared" si="6"/>
        <v>25.847499999999997</v>
      </c>
      <c r="H10" s="25">
        <f>SUM($A$5:A10)</f>
        <v>816</v>
      </c>
      <c r="I10" s="25">
        <f>SUM($B$5:B10)</f>
        <v>745.05309999999997</v>
      </c>
      <c r="J10" s="25">
        <f t="shared" si="7"/>
        <v>-70.946900000000028</v>
      </c>
      <c r="K10" s="25">
        <f>MIN($J$5:J10,0)</f>
        <v>-70.946900000000028</v>
      </c>
      <c r="L10" s="29">
        <f t="shared" si="8"/>
        <v>0</v>
      </c>
      <c r="M10" s="22">
        <f t="shared" si="9"/>
        <v>70.946900000000028</v>
      </c>
      <c r="N10" s="2">
        <f t="shared" si="10"/>
        <v>816</v>
      </c>
      <c r="O10" s="2">
        <f t="shared" si="11"/>
        <v>0</v>
      </c>
      <c r="P10" s="19">
        <f t="shared" si="13"/>
        <v>816</v>
      </c>
      <c r="Q10" s="19">
        <f t="shared" si="14"/>
        <v>70.946900000000028</v>
      </c>
    </row>
    <row r="11" spans="1:17" s="14" customFormat="1" x14ac:dyDescent="0.25">
      <c r="A11" s="11">
        <v>136</v>
      </c>
      <c r="B11" s="11">
        <v>125.1622</v>
      </c>
      <c r="C11" s="16">
        <f t="shared" si="1"/>
        <v>0</v>
      </c>
      <c r="D11" s="2">
        <f t="shared" si="12"/>
        <v>0</v>
      </c>
      <c r="E11" s="2">
        <f t="shared" si="5"/>
        <v>125.1622</v>
      </c>
      <c r="F11" s="2">
        <f t="shared" si="2"/>
        <v>-10.837800000000001</v>
      </c>
      <c r="G11" s="12">
        <f t="shared" si="6"/>
        <v>11.7119</v>
      </c>
      <c r="H11" s="25">
        <f>SUM($A$5:A11)</f>
        <v>952</v>
      </c>
      <c r="I11" s="25">
        <f>SUM($B$5:B11)</f>
        <v>870.21529999999996</v>
      </c>
      <c r="J11" s="25">
        <f t="shared" si="7"/>
        <v>-81.784700000000043</v>
      </c>
      <c r="K11" s="25">
        <f>MIN($J$5:J11,0)</f>
        <v>-81.784700000000043</v>
      </c>
      <c r="L11" s="29">
        <f t="shared" si="8"/>
        <v>0</v>
      </c>
      <c r="M11" s="22">
        <f t="shared" si="9"/>
        <v>81.784700000000043</v>
      </c>
      <c r="N11" s="2">
        <f t="shared" si="10"/>
        <v>952</v>
      </c>
      <c r="O11" s="2">
        <f t="shared" si="11"/>
        <v>0</v>
      </c>
      <c r="P11" s="19">
        <f t="shared" si="13"/>
        <v>952</v>
      </c>
      <c r="Q11" s="19">
        <f t="shared" si="14"/>
        <v>81.784700000000043</v>
      </c>
    </row>
    <row r="12" spans="1:17" s="21" customFormat="1" x14ac:dyDescent="0.25">
      <c r="A12" s="18">
        <v>136</v>
      </c>
      <c r="B12" s="18">
        <v>168.5085</v>
      </c>
      <c r="C12" s="18">
        <f t="shared" si="1"/>
        <v>32.508499999999998</v>
      </c>
      <c r="D12" s="19">
        <f t="shared" si="12"/>
        <v>0</v>
      </c>
      <c r="E12" s="19">
        <f t="shared" si="5"/>
        <v>168.5085</v>
      </c>
      <c r="F12" s="19">
        <f t="shared" si="2"/>
        <v>32.508499999999998</v>
      </c>
      <c r="G12" s="19">
        <f t="shared" si="6"/>
        <v>43.346299999999999</v>
      </c>
      <c r="H12" s="25">
        <f>SUM($A$5:A12)</f>
        <v>1088</v>
      </c>
      <c r="I12" s="25">
        <f>SUM($B$5:B12)</f>
        <v>1038.7238</v>
      </c>
      <c r="J12" s="25">
        <f t="shared" si="7"/>
        <v>-49.276200000000017</v>
      </c>
      <c r="K12" s="25">
        <f>MIN($J$5:J12,0)</f>
        <v>-81.784700000000043</v>
      </c>
      <c r="L12" s="29">
        <f t="shared" si="8"/>
        <v>32.508500000000026</v>
      </c>
      <c r="M12" s="20">
        <f t="shared" si="9"/>
        <v>49.276200000000017</v>
      </c>
      <c r="N12" s="19">
        <f t="shared" si="10"/>
        <v>1088</v>
      </c>
      <c r="O12" s="19">
        <f t="shared" si="11"/>
        <v>0</v>
      </c>
      <c r="P12" s="19">
        <f>C12+H12</f>
        <v>1120.5084999999999</v>
      </c>
      <c r="Q12" s="19">
        <f>P12-I12</f>
        <v>81.78469999999993</v>
      </c>
    </row>
    <row r="13" spans="1:17" x14ac:dyDescent="0.25">
      <c r="A13" s="1">
        <v>136</v>
      </c>
      <c r="B13" s="1">
        <v>232.7765</v>
      </c>
      <c r="C13" s="4">
        <f t="shared" si="1"/>
        <v>129.28499999999997</v>
      </c>
      <c r="D13" s="2">
        <f t="shared" si="12"/>
        <v>32.508499999999998</v>
      </c>
      <c r="E13" s="2">
        <f t="shared" si="5"/>
        <v>265.28499999999997</v>
      </c>
      <c r="F13" s="2">
        <f t="shared" si="2"/>
        <v>129.28499999999997</v>
      </c>
      <c r="G13" s="2">
        <f t="shared" si="6"/>
        <v>96.77649999999997</v>
      </c>
      <c r="H13" s="25">
        <f>SUM($A$5:A13)</f>
        <v>1224</v>
      </c>
      <c r="I13" s="25">
        <f>SUM($B$5:B13)</f>
        <v>1271.5002999999999</v>
      </c>
      <c r="J13" s="25">
        <f t="shared" si="7"/>
        <v>47.500299999999925</v>
      </c>
      <c r="K13" s="25">
        <f>MIN($J$5:J13,0)</f>
        <v>-81.784700000000043</v>
      </c>
      <c r="L13" s="29">
        <f t="shared" si="8"/>
        <v>129.28499999999997</v>
      </c>
      <c r="M13" s="17">
        <f t="shared" si="9"/>
        <v>0</v>
      </c>
      <c r="N13" s="2">
        <f t="shared" si="10"/>
        <v>1271.5002999999999</v>
      </c>
      <c r="O13" s="2">
        <f t="shared" si="11"/>
        <v>47.500299999999925</v>
      </c>
      <c r="P13" s="19">
        <f t="shared" ref="P13:P34" si="15">C13+H13</f>
        <v>1353.2849999999999</v>
      </c>
      <c r="Q13" s="19">
        <f t="shared" ref="Q13:Q34" si="16">P13-I13</f>
        <v>81.78469999999993</v>
      </c>
    </row>
    <row r="14" spans="1:17" x14ac:dyDescent="0.25">
      <c r="A14" s="1">
        <v>136</v>
      </c>
      <c r="B14" s="1">
        <v>113.7482</v>
      </c>
      <c r="C14" s="4">
        <f t="shared" si="1"/>
        <v>107.03319999999997</v>
      </c>
      <c r="D14" s="2">
        <f t="shared" si="12"/>
        <v>129.28499999999997</v>
      </c>
      <c r="E14" s="2">
        <f t="shared" si="5"/>
        <v>243.03319999999997</v>
      </c>
      <c r="F14" s="2">
        <f t="shared" si="2"/>
        <v>107.03319999999997</v>
      </c>
      <c r="G14" s="2">
        <f t="shared" si="6"/>
        <v>-22.251800000000003</v>
      </c>
      <c r="H14" s="25">
        <f>SUM($A$5:A14)</f>
        <v>1360</v>
      </c>
      <c r="I14" s="25">
        <f>SUM($B$5:B14)</f>
        <v>1385.2484999999999</v>
      </c>
      <c r="J14" s="25">
        <f t="shared" si="7"/>
        <v>25.248499999999922</v>
      </c>
      <c r="K14" s="25">
        <f>MIN($J$5:J14,0)</f>
        <v>-81.784700000000043</v>
      </c>
      <c r="L14" s="29">
        <f t="shared" si="8"/>
        <v>107.03319999999997</v>
      </c>
      <c r="M14" s="17">
        <f t="shared" si="9"/>
        <v>0</v>
      </c>
      <c r="N14" s="2">
        <f t="shared" si="10"/>
        <v>1385.2484999999999</v>
      </c>
      <c r="O14" s="2">
        <f t="shared" si="11"/>
        <v>25.248499999999922</v>
      </c>
      <c r="P14" s="19">
        <f t="shared" si="15"/>
        <v>1467.0331999999999</v>
      </c>
      <c r="Q14" s="19">
        <f t="shared" si="16"/>
        <v>81.78469999999993</v>
      </c>
    </row>
    <row r="15" spans="1:17" x14ac:dyDescent="0.25">
      <c r="A15" s="1">
        <v>136</v>
      </c>
      <c r="B15" s="1">
        <v>84.603499999999997</v>
      </c>
      <c r="C15" s="4">
        <f t="shared" si="1"/>
        <v>55.636699999999962</v>
      </c>
      <c r="D15" s="2">
        <f t="shared" si="12"/>
        <v>107.03319999999997</v>
      </c>
      <c r="E15" s="2">
        <f t="shared" si="5"/>
        <v>191.63669999999996</v>
      </c>
      <c r="F15" s="2">
        <f t="shared" si="2"/>
        <v>55.636699999999962</v>
      </c>
      <c r="G15" s="2">
        <f t="shared" si="6"/>
        <v>-51.396500000000003</v>
      </c>
      <c r="H15" s="25">
        <f>SUM($A$5:A15)</f>
        <v>1496</v>
      </c>
      <c r="I15" s="25">
        <f>SUM($B$5:B15)</f>
        <v>1469.8519999999999</v>
      </c>
      <c r="J15" s="25">
        <f t="shared" si="7"/>
        <v>-26.148000000000138</v>
      </c>
      <c r="K15" s="25">
        <f>MIN($J$5:J15,0)</f>
        <v>-81.784700000000043</v>
      </c>
      <c r="L15" s="29">
        <f t="shared" si="8"/>
        <v>55.636699999999905</v>
      </c>
      <c r="M15" s="17">
        <f t="shared" si="9"/>
        <v>26.148000000000138</v>
      </c>
      <c r="N15" s="2">
        <f t="shared" si="10"/>
        <v>1496</v>
      </c>
      <c r="O15" s="2">
        <f t="shared" si="11"/>
        <v>0</v>
      </c>
      <c r="P15" s="19">
        <f t="shared" si="15"/>
        <v>1551.6367</v>
      </c>
      <c r="Q15" s="19">
        <f t="shared" si="16"/>
        <v>81.784700000000157</v>
      </c>
    </row>
    <row r="16" spans="1:17" x14ac:dyDescent="0.25">
      <c r="A16" s="1">
        <v>136</v>
      </c>
      <c r="B16" s="1">
        <v>240.1747</v>
      </c>
      <c r="C16" s="4">
        <f t="shared" si="1"/>
        <v>159.81139999999994</v>
      </c>
      <c r="D16" s="2">
        <f t="shared" si="12"/>
        <v>55.636699999999962</v>
      </c>
      <c r="E16" s="2">
        <f t="shared" si="5"/>
        <v>295.81139999999994</v>
      </c>
      <c r="F16" s="2">
        <f t="shared" si="2"/>
        <v>159.81139999999994</v>
      </c>
      <c r="G16" s="2">
        <f t="shared" si="6"/>
        <v>104.17469999999997</v>
      </c>
      <c r="H16" s="25">
        <f>SUM($A$5:A16)</f>
        <v>1632</v>
      </c>
      <c r="I16" s="25">
        <f>SUM($B$5:B16)</f>
        <v>1710.0266999999999</v>
      </c>
      <c r="J16" s="25">
        <f t="shared" si="7"/>
        <v>78.026699999999892</v>
      </c>
      <c r="K16" s="25">
        <f>MIN($J$5:J16,0)</f>
        <v>-81.784700000000043</v>
      </c>
      <c r="L16" s="29">
        <f t="shared" si="8"/>
        <v>159.81139999999994</v>
      </c>
      <c r="M16" s="17">
        <f t="shared" si="9"/>
        <v>0</v>
      </c>
      <c r="N16" s="2">
        <f t="shared" si="10"/>
        <v>1710.0266999999999</v>
      </c>
      <c r="O16" s="2">
        <f t="shared" si="11"/>
        <v>78.026699999999892</v>
      </c>
      <c r="P16" s="19">
        <f t="shared" si="15"/>
        <v>1791.8114</v>
      </c>
      <c r="Q16" s="19">
        <f t="shared" si="16"/>
        <v>81.784700000000157</v>
      </c>
    </row>
    <row r="17" spans="1:17" x14ac:dyDescent="0.25">
      <c r="A17" s="1">
        <v>136</v>
      </c>
      <c r="B17" s="1">
        <v>118.7595</v>
      </c>
      <c r="C17" s="4">
        <f t="shared" si="1"/>
        <v>142.57089999999994</v>
      </c>
      <c r="D17" s="2">
        <f t="shared" si="12"/>
        <v>159.81139999999994</v>
      </c>
      <c r="E17" s="2">
        <f t="shared" si="5"/>
        <v>278.57089999999994</v>
      </c>
      <c r="F17" s="2">
        <f t="shared" si="2"/>
        <v>142.57089999999994</v>
      </c>
      <c r="G17" s="2">
        <f t="shared" si="6"/>
        <v>-17.240499999999997</v>
      </c>
      <c r="H17" s="25">
        <f>SUM($A$5:A17)</f>
        <v>1768</v>
      </c>
      <c r="I17" s="25">
        <f>SUM($B$5:B17)</f>
        <v>1828.7862</v>
      </c>
      <c r="J17" s="25">
        <f t="shared" si="7"/>
        <v>60.786200000000008</v>
      </c>
      <c r="K17" s="25">
        <f>MIN($J$5:J17,0)</f>
        <v>-81.784700000000043</v>
      </c>
      <c r="L17" s="29">
        <f t="shared" si="8"/>
        <v>142.57090000000005</v>
      </c>
      <c r="M17" s="17">
        <f t="shared" si="9"/>
        <v>0</v>
      </c>
      <c r="N17" s="2">
        <f t="shared" si="10"/>
        <v>1828.7862</v>
      </c>
      <c r="O17" s="2">
        <f t="shared" si="11"/>
        <v>60.786200000000008</v>
      </c>
      <c r="P17" s="19">
        <f t="shared" si="15"/>
        <v>1910.5708999999999</v>
      </c>
      <c r="Q17" s="19">
        <f t="shared" si="16"/>
        <v>81.78469999999993</v>
      </c>
    </row>
    <row r="18" spans="1:17" x14ac:dyDescent="0.25">
      <c r="A18" s="1">
        <v>136</v>
      </c>
      <c r="B18" s="1">
        <v>125.95399999999999</v>
      </c>
      <c r="C18" s="4">
        <f t="shared" si="1"/>
        <v>132.52489999999995</v>
      </c>
      <c r="D18" s="2">
        <f t="shared" si="12"/>
        <v>142.57089999999994</v>
      </c>
      <c r="E18" s="2">
        <f t="shared" si="5"/>
        <v>268.52489999999995</v>
      </c>
      <c r="F18" s="2">
        <f t="shared" si="2"/>
        <v>132.52489999999995</v>
      </c>
      <c r="G18" s="2">
        <f t="shared" si="6"/>
        <v>-10.045999999999992</v>
      </c>
      <c r="H18" s="25">
        <f>SUM($A$5:A18)</f>
        <v>1904</v>
      </c>
      <c r="I18" s="25">
        <f>SUM($B$5:B18)</f>
        <v>1954.7402</v>
      </c>
      <c r="J18" s="25">
        <f t="shared" si="7"/>
        <v>50.740199999999959</v>
      </c>
      <c r="K18" s="25">
        <f>MIN($J$5:J18,0)</f>
        <v>-81.784700000000043</v>
      </c>
      <c r="L18" s="29">
        <f t="shared" si="8"/>
        <v>132.5249</v>
      </c>
      <c r="M18" s="17">
        <f t="shared" si="9"/>
        <v>0</v>
      </c>
      <c r="N18" s="2">
        <f t="shared" si="10"/>
        <v>1954.7402</v>
      </c>
      <c r="O18" s="2">
        <f t="shared" si="11"/>
        <v>50.740199999999959</v>
      </c>
      <c r="P18" s="19">
        <f t="shared" si="15"/>
        <v>2036.5248999999999</v>
      </c>
      <c r="Q18" s="19">
        <f t="shared" si="16"/>
        <v>81.78469999999993</v>
      </c>
    </row>
    <row r="19" spans="1:17" x14ac:dyDescent="0.25">
      <c r="A19" s="1">
        <v>136</v>
      </c>
      <c r="B19" s="1">
        <v>58.101170000000003</v>
      </c>
      <c r="C19" s="4">
        <f t="shared" si="1"/>
        <v>54.626069999999942</v>
      </c>
      <c r="D19" s="2">
        <f t="shared" si="12"/>
        <v>132.52489999999995</v>
      </c>
      <c r="E19" s="2">
        <f t="shared" si="5"/>
        <v>190.62606999999994</v>
      </c>
      <c r="F19" s="2">
        <f t="shared" si="2"/>
        <v>54.626069999999942</v>
      </c>
      <c r="G19" s="2">
        <f t="shared" si="6"/>
        <v>-77.898830000000004</v>
      </c>
      <c r="H19" s="25">
        <f>SUM($A$5:A19)</f>
        <v>2040</v>
      </c>
      <c r="I19" s="25">
        <f>SUM($B$5:B19)</f>
        <v>2012.8413699999999</v>
      </c>
      <c r="J19" s="25">
        <f t="shared" si="7"/>
        <v>-27.15863000000013</v>
      </c>
      <c r="K19" s="25">
        <f>MIN($J$5:J19,0)</f>
        <v>-81.784700000000043</v>
      </c>
      <c r="L19" s="29">
        <f t="shared" si="8"/>
        <v>54.626069999999913</v>
      </c>
      <c r="M19" s="17">
        <f t="shared" si="9"/>
        <v>27.15863000000013</v>
      </c>
      <c r="N19" s="2">
        <f t="shared" si="10"/>
        <v>2040</v>
      </c>
      <c r="O19" s="2">
        <f t="shared" si="11"/>
        <v>0</v>
      </c>
      <c r="P19" s="19">
        <f t="shared" si="15"/>
        <v>2094.6260699999998</v>
      </c>
      <c r="Q19" s="19">
        <f t="shared" si="16"/>
        <v>81.78469999999993</v>
      </c>
    </row>
    <row r="20" spans="1:17" x14ac:dyDescent="0.25">
      <c r="A20" s="1">
        <v>136</v>
      </c>
      <c r="B20" s="1">
        <v>94.614000000000004</v>
      </c>
      <c r="C20" s="4">
        <f t="shared" si="1"/>
        <v>13.240069999999946</v>
      </c>
      <c r="D20" s="2">
        <f t="shared" si="12"/>
        <v>54.626069999999942</v>
      </c>
      <c r="E20" s="2">
        <f t="shared" si="5"/>
        <v>149.24006999999995</v>
      </c>
      <c r="F20" s="2">
        <f t="shared" si="2"/>
        <v>13.240069999999946</v>
      </c>
      <c r="G20" s="2">
        <f t="shared" si="6"/>
        <v>-41.385999999999996</v>
      </c>
      <c r="H20" s="25">
        <f>SUM($A$5:A20)</f>
        <v>2176</v>
      </c>
      <c r="I20" s="25">
        <f>SUM($B$5:B20)</f>
        <v>2107.4553699999997</v>
      </c>
      <c r="J20" s="25">
        <f t="shared" si="7"/>
        <v>-68.544630000000325</v>
      </c>
      <c r="K20" s="25">
        <f>MIN($J$5:J20,0)</f>
        <v>-81.784700000000043</v>
      </c>
      <c r="L20" s="29">
        <f t="shared" si="8"/>
        <v>13.240069999999719</v>
      </c>
      <c r="M20" s="17">
        <f t="shared" si="9"/>
        <v>68.544630000000325</v>
      </c>
      <c r="N20" s="2">
        <f t="shared" si="10"/>
        <v>2176</v>
      </c>
      <c r="O20" s="2">
        <f t="shared" si="11"/>
        <v>0</v>
      </c>
      <c r="P20" s="19">
        <f t="shared" si="15"/>
        <v>2189.2400699999998</v>
      </c>
      <c r="Q20" s="19">
        <f t="shared" si="16"/>
        <v>81.784700000000157</v>
      </c>
    </row>
    <row r="21" spans="1:17" x14ac:dyDescent="0.25">
      <c r="A21" s="1">
        <v>136</v>
      </c>
      <c r="B21" s="15">
        <v>100</v>
      </c>
      <c r="C21" s="16">
        <f t="shared" si="1"/>
        <v>0</v>
      </c>
      <c r="D21" s="2">
        <f t="shared" si="12"/>
        <v>13.240069999999946</v>
      </c>
      <c r="E21" s="2">
        <f t="shared" si="5"/>
        <v>113.24006999999995</v>
      </c>
      <c r="F21" s="2">
        <f t="shared" si="2"/>
        <v>-22.759930000000054</v>
      </c>
      <c r="G21" s="2">
        <f t="shared" si="6"/>
        <v>-36</v>
      </c>
      <c r="H21" s="25">
        <f>SUM($A$5:A21)</f>
        <v>2312</v>
      </c>
      <c r="I21" s="25">
        <f>SUM($B$5:B21)</f>
        <v>2207.4553699999997</v>
      </c>
      <c r="J21" s="25">
        <f t="shared" si="7"/>
        <v>-104.54463000000032</v>
      </c>
      <c r="K21" s="25">
        <f>MIN($J$5:J21,0)</f>
        <v>-104.54463000000032</v>
      </c>
      <c r="L21" s="29">
        <f t="shared" si="8"/>
        <v>0</v>
      </c>
      <c r="M21" s="22">
        <f t="shared" si="9"/>
        <v>104.54463000000032</v>
      </c>
      <c r="N21" s="2">
        <f t="shared" si="10"/>
        <v>2312</v>
      </c>
      <c r="O21" s="2">
        <f t="shared" si="11"/>
        <v>0</v>
      </c>
      <c r="P21" s="19">
        <f t="shared" si="15"/>
        <v>2312</v>
      </c>
      <c r="Q21" s="19">
        <f t="shared" si="16"/>
        <v>104.54463000000032</v>
      </c>
    </row>
    <row r="22" spans="1:17" x14ac:dyDescent="0.25">
      <c r="A22" s="1">
        <v>136</v>
      </c>
      <c r="B22" s="1">
        <v>246.238</v>
      </c>
      <c r="C22" s="4">
        <f t="shared" si="1"/>
        <v>110.238</v>
      </c>
      <c r="D22" s="2">
        <f t="shared" si="12"/>
        <v>0</v>
      </c>
      <c r="E22" s="2">
        <f t="shared" si="5"/>
        <v>246.238</v>
      </c>
      <c r="F22" s="2">
        <f t="shared" si="2"/>
        <v>110.238</v>
      </c>
      <c r="G22" s="2">
        <f t="shared" si="6"/>
        <v>132.99793000000005</v>
      </c>
      <c r="H22" s="25">
        <f>SUM($A$5:A22)</f>
        <v>2448</v>
      </c>
      <c r="I22" s="25">
        <f>SUM($B$5:B22)</f>
        <v>2453.6933699999995</v>
      </c>
      <c r="J22" s="25">
        <f t="shared" si="7"/>
        <v>5.6933699999995042</v>
      </c>
      <c r="K22" s="25">
        <f>MIN($J$5:J22,0)</f>
        <v>-104.54463000000032</v>
      </c>
      <c r="L22" s="29">
        <f t="shared" si="8"/>
        <v>110.23799999999983</v>
      </c>
      <c r="M22" s="17">
        <f t="shared" si="9"/>
        <v>0</v>
      </c>
      <c r="N22" s="2">
        <f t="shared" si="10"/>
        <v>2453.6933699999995</v>
      </c>
      <c r="O22" s="2">
        <f t="shared" si="11"/>
        <v>5.6933699999995042</v>
      </c>
      <c r="P22" s="19">
        <f t="shared" si="15"/>
        <v>2558.2379999999998</v>
      </c>
      <c r="Q22" s="19">
        <f t="shared" si="16"/>
        <v>104.54463000000032</v>
      </c>
    </row>
    <row r="23" spans="1:17" x14ac:dyDescent="0.25">
      <c r="A23" s="1">
        <v>136</v>
      </c>
      <c r="B23" s="1">
        <v>160.19880000000001</v>
      </c>
      <c r="C23" s="4">
        <f t="shared" si="1"/>
        <v>134.43680000000001</v>
      </c>
      <c r="D23" s="2">
        <f t="shared" si="12"/>
        <v>110.238</v>
      </c>
      <c r="E23" s="2">
        <f t="shared" si="5"/>
        <v>270.43680000000001</v>
      </c>
      <c r="F23" s="2">
        <f t="shared" si="2"/>
        <v>134.43680000000001</v>
      </c>
      <c r="G23" s="2">
        <f t="shared" si="6"/>
        <v>24.198800000000006</v>
      </c>
      <c r="H23" s="25">
        <f>SUM($A$5:A23)</f>
        <v>2584</v>
      </c>
      <c r="I23" s="25">
        <f>SUM($B$5:B23)</f>
        <v>2613.8921699999996</v>
      </c>
      <c r="J23" s="25">
        <f t="shared" si="7"/>
        <v>29.892169999999624</v>
      </c>
      <c r="K23" s="25">
        <f>MIN($J$5:J23,0)</f>
        <v>-104.54463000000032</v>
      </c>
      <c r="L23" s="29">
        <f t="shared" si="8"/>
        <v>134.43679999999995</v>
      </c>
      <c r="M23" s="17">
        <f t="shared" si="9"/>
        <v>0</v>
      </c>
      <c r="N23" s="2">
        <f t="shared" si="10"/>
        <v>2613.8921699999996</v>
      </c>
      <c r="O23" s="2">
        <f t="shared" si="11"/>
        <v>29.892169999999624</v>
      </c>
      <c r="P23" s="19">
        <f t="shared" si="15"/>
        <v>2718.4367999999999</v>
      </c>
      <c r="Q23" s="19">
        <f t="shared" si="16"/>
        <v>104.54463000000032</v>
      </c>
    </row>
    <row r="24" spans="1:17" x14ac:dyDescent="0.25">
      <c r="A24" s="1">
        <v>136</v>
      </c>
      <c r="B24" s="1">
        <v>67.524169999999998</v>
      </c>
      <c r="C24" s="4">
        <f t="shared" si="1"/>
        <v>65.960970000000003</v>
      </c>
      <c r="D24" s="2">
        <f t="shared" si="12"/>
        <v>134.43680000000001</v>
      </c>
      <c r="E24" s="2">
        <f t="shared" si="5"/>
        <v>201.96097</v>
      </c>
      <c r="F24" s="2">
        <f t="shared" si="2"/>
        <v>65.960970000000003</v>
      </c>
      <c r="G24" s="2">
        <f t="shared" si="6"/>
        <v>-68.475830000000002</v>
      </c>
      <c r="H24" s="25">
        <f>SUM($A$5:A24)</f>
        <v>2720</v>
      </c>
      <c r="I24" s="25">
        <f>SUM($B$5:B24)</f>
        <v>2681.4163399999998</v>
      </c>
      <c r="J24" s="25">
        <f t="shared" si="7"/>
        <v>-38.583660000000236</v>
      </c>
      <c r="K24" s="25">
        <f>MIN($J$5:J24,0)</f>
        <v>-104.54463000000032</v>
      </c>
      <c r="L24" s="29">
        <f t="shared" si="8"/>
        <v>65.960970000000088</v>
      </c>
      <c r="M24" s="17">
        <f t="shared" si="9"/>
        <v>38.583660000000236</v>
      </c>
      <c r="N24" s="2">
        <f t="shared" si="10"/>
        <v>2720</v>
      </c>
      <c r="O24" s="2">
        <f t="shared" si="11"/>
        <v>0</v>
      </c>
      <c r="P24" s="19">
        <f t="shared" si="15"/>
        <v>2785.9609700000001</v>
      </c>
      <c r="Q24" s="19">
        <f t="shared" si="16"/>
        <v>104.54463000000032</v>
      </c>
    </row>
    <row r="25" spans="1:17" x14ac:dyDescent="0.25">
      <c r="A25" s="1">
        <v>136</v>
      </c>
      <c r="B25" s="1">
        <v>198.09379999999999</v>
      </c>
      <c r="C25" s="4">
        <f t="shared" si="1"/>
        <v>128.05476999999996</v>
      </c>
      <c r="D25" s="2">
        <f t="shared" si="12"/>
        <v>65.960970000000003</v>
      </c>
      <c r="E25" s="2">
        <f t="shared" si="5"/>
        <v>264.05476999999996</v>
      </c>
      <c r="F25" s="2">
        <f t="shared" si="2"/>
        <v>128.05476999999996</v>
      </c>
      <c r="G25" s="2">
        <f t="shared" si="6"/>
        <v>62.093799999999959</v>
      </c>
      <c r="H25" s="25">
        <f>SUM($A$5:A25)</f>
        <v>2856</v>
      </c>
      <c r="I25" s="25">
        <f>SUM($B$5:B25)</f>
        <v>2879.5101399999999</v>
      </c>
      <c r="J25" s="25">
        <f t="shared" si="7"/>
        <v>23.510139999999865</v>
      </c>
      <c r="K25" s="25">
        <f>MIN($J$5:J25,0)</f>
        <v>-104.54463000000032</v>
      </c>
      <c r="L25" s="29">
        <f t="shared" si="8"/>
        <v>128.05477000000019</v>
      </c>
      <c r="M25" s="17">
        <f t="shared" si="9"/>
        <v>0</v>
      </c>
      <c r="N25" s="2">
        <f t="shared" si="10"/>
        <v>2879.5101399999999</v>
      </c>
      <c r="O25" s="2">
        <f t="shared" si="11"/>
        <v>23.510139999999865</v>
      </c>
      <c r="P25" s="19">
        <f t="shared" si="15"/>
        <v>2984.0547699999997</v>
      </c>
      <c r="Q25" s="19">
        <f t="shared" si="16"/>
        <v>104.54462999999987</v>
      </c>
    </row>
    <row r="26" spans="1:17" x14ac:dyDescent="0.25">
      <c r="A26" s="1">
        <v>136</v>
      </c>
      <c r="B26" s="1">
        <v>95.80883</v>
      </c>
      <c r="C26" s="4">
        <f t="shared" si="1"/>
        <v>87.863599999999963</v>
      </c>
      <c r="D26" s="2">
        <f t="shared" si="12"/>
        <v>128.05476999999996</v>
      </c>
      <c r="E26" s="2">
        <f t="shared" si="5"/>
        <v>223.86359999999996</v>
      </c>
      <c r="F26" s="2">
        <f t="shared" si="2"/>
        <v>87.863599999999963</v>
      </c>
      <c r="G26" s="2">
        <f t="shared" si="6"/>
        <v>-40.19117</v>
      </c>
      <c r="H26" s="25">
        <f>SUM($A$5:A26)</f>
        <v>2992</v>
      </c>
      <c r="I26" s="25">
        <f>SUM($B$5:B26)</f>
        <v>2975.3189699999998</v>
      </c>
      <c r="J26" s="25">
        <f t="shared" si="7"/>
        <v>-16.681030000000192</v>
      </c>
      <c r="K26" s="25">
        <f>MIN($J$5:J26,0)</f>
        <v>-104.54463000000032</v>
      </c>
      <c r="L26" s="29">
        <f t="shared" si="8"/>
        <v>87.863600000000133</v>
      </c>
      <c r="M26" s="17">
        <f t="shared" si="9"/>
        <v>16.681030000000192</v>
      </c>
      <c r="N26" s="2">
        <f t="shared" si="10"/>
        <v>2992</v>
      </c>
      <c r="O26" s="2">
        <f t="shared" si="11"/>
        <v>0</v>
      </c>
      <c r="P26" s="19">
        <f t="shared" si="15"/>
        <v>3079.8636000000001</v>
      </c>
      <c r="Q26" s="19">
        <f t="shared" si="16"/>
        <v>104.54463000000032</v>
      </c>
    </row>
    <row r="27" spans="1:17" x14ac:dyDescent="0.25">
      <c r="A27" s="1">
        <v>136</v>
      </c>
      <c r="B27" s="1">
        <v>87.885000000000005</v>
      </c>
      <c r="C27" s="4">
        <f t="shared" si="1"/>
        <v>39.748599999999954</v>
      </c>
      <c r="D27" s="2">
        <f t="shared" si="12"/>
        <v>87.863599999999963</v>
      </c>
      <c r="E27" s="2">
        <f t="shared" si="5"/>
        <v>175.74859999999995</v>
      </c>
      <c r="F27" s="2">
        <f t="shared" si="2"/>
        <v>39.748599999999954</v>
      </c>
      <c r="G27" s="2">
        <f t="shared" si="6"/>
        <v>-48.115000000000009</v>
      </c>
      <c r="H27" s="25">
        <f>SUM($A$5:A27)</f>
        <v>3128</v>
      </c>
      <c r="I27" s="25">
        <f>SUM($B$5:B27)</f>
        <v>3063.20397</v>
      </c>
      <c r="J27" s="25">
        <f t="shared" si="7"/>
        <v>-64.796029999999973</v>
      </c>
      <c r="K27" s="25">
        <f>MIN($J$5:J27,0)</f>
        <v>-104.54463000000032</v>
      </c>
      <c r="L27" s="29">
        <f t="shared" si="8"/>
        <v>39.748600000000351</v>
      </c>
      <c r="M27" s="17">
        <f t="shared" si="9"/>
        <v>64.796029999999973</v>
      </c>
      <c r="N27" s="2">
        <f t="shared" si="10"/>
        <v>3128</v>
      </c>
      <c r="O27" s="2">
        <f t="shared" si="11"/>
        <v>0</v>
      </c>
      <c r="P27" s="19">
        <f t="shared" si="15"/>
        <v>3167.7485999999999</v>
      </c>
      <c r="Q27" s="19">
        <f t="shared" si="16"/>
        <v>104.54462999999987</v>
      </c>
    </row>
    <row r="28" spans="1:17" x14ac:dyDescent="0.25">
      <c r="A28" s="1">
        <v>136</v>
      </c>
      <c r="B28" s="1">
        <v>116.005</v>
      </c>
      <c r="C28" s="4">
        <f t="shared" si="1"/>
        <v>19.753599999999949</v>
      </c>
      <c r="D28" s="2">
        <f t="shared" si="12"/>
        <v>39.748599999999954</v>
      </c>
      <c r="E28" s="2">
        <f t="shared" si="5"/>
        <v>155.75359999999995</v>
      </c>
      <c r="F28" s="2">
        <f t="shared" si="2"/>
        <v>19.753599999999949</v>
      </c>
      <c r="G28" s="2">
        <f t="shared" si="6"/>
        <v>-19.995000000000005</v>
      </c>
      <c r="H28" s="25">
        <f>SUM($A$5:A28)</f>
        <v>3264</v>
      </c>
      <c r="I28" s="25">
        <f>SUM($B$5:B28)</f>
        <v>3179.2089700000001</v>
      </c>
      <c r="J28" s="25">
        <f t="shared" si="7"/>
        <v>-84.791029999999864</v>
      </c>
      <c r="K28" s="25">
        <f>MIN($J$5:J28,0)</f>
        <v>-104.54463000000032</v>
      </c>
      <c r="L28" s="29">
        <f t="shared" si="8"/>
        <v>19.753600000000461</v>
      </c>
      <c r="M28" s="17">
        <f t="shared" si="9"/>
        <v>84.791029999999864</v>
      </c>
      <c r="N28" s="2">
        <f t="shared" si="10"/>
        <v>3264</v>
      </c>
      <c r="O28" s="2">
        <f t="shared" si="11"/>
        <v>0</v>
      </c>
      <c r="P28" s="19">
        <f t="shared" si="15"/>
        <v>3283.7536</v>
      </c>
      <c r="Q28" s="19">
        <f t="shared" si="16"/>
        <v>104.54462999999987</v>
      </c>
    </row>
    <row r="29" spans="1:17" x14ac:dyDescent="0.25">
      <c r="A29" s="1">
        <v>136</v>
      </c>
      <c r="B29" s="1">
        <v>232.55420000000001</v>
      </c>
      <c r="C29" s="4">
        <f t="shared" si="1"/>
        <v>116.30779999999996</v>
      </c>
      <c r="D29" s="2">
        <f t="shared" si="12"/>
        <v>19.753599999999949</v>
      </c>
      <c r="E29" s="2">
        <f t="shared" si="5"/>
        <v>252.30779999999996</v>
      </c>
      <c r="F29" s="2">
        <f t="shared" si="2"/>
        <v>116.30779999999996</v>
      </c>
      <c r="G29" s="2">
        <f t="shared" si="6"/>
        <v>96.554200000000009</v>
      </c>
      <c r="H29" s="25">
        <f>SUM($A$5:A29)</f>
        <v>3400</v>
      </c>
      <c r="I29" s="25">
        <f>SUM($B$5:B29)</f>
        <v>3411.7631700000002</v>
      </c>
      <c r="J29" s="25">
        <f t="shared" si="7"/>
        <v>11.763170000000173</v>
      </c>
      <c r="K29" s="25">
        <f>MIN($J$5:J29,0)</f>
        <v>-104.54463000000032</v>
      </c>
      <c r="L29" s="29">
        <f t="shared" si="8"/>
        <v>116.3078000000005</v>
      </c>
      <c r="M29" s="17">
        <f t="shared" si="9"/>
        <v>0</v>
      </c>
      <c r="N29" s="2">
        <f t="shared" si="10"/>
        <v>3411.7631700000002</v>
      </c>
      <c r="O29" s="2">
        <f t="shared" si="11"/>
        <v>11.763170000000173</v>
      </c>
      <c r="P29" s="19">
        <f t="shared" si="15"/>
        <v>3516.3078</v>
      </c>
      <c r="Q29" s="19">
        <f t="shared" si="16"/>
        <v>104.54462999999987</v>
      </c>
    </row>
    <row r="30" spans="1:17" x14ac:dyDescent="0.25">
      <c r="A30" s="1">
        <v>136</v>
      </c>
      <c r="B30" s="1">
        <v>37.924999999999997</v>
      </c>
      <c r="C30" s="4">
        <f t="shared" si="1"/>
        <v>18.232799999999941</v>
      </c>
      <c r="D30" s="2">
        <f t="shared" si="12"/>
        <v>116.30779999999996</v>
      </c>
      <c r="E30" s="2">
        <f t="shared" si="5"/>
        <v>154.23279999999994</v>
      </c>
      <c r="F30" s="2">
        <f t="shared" si="2"/>
        <v>18.232799999999941</v>
      </c>
      <c r="G30" s="2">
        <f t="shared" si="6"/>
        <v>-98.075000000000017</v>
      </c>
      <c r="H30" s="25">
        <f>SUM($A$5:A30)</f>
        <v>3536</v>
      </c>
      <c r="I30" s="25">
        <f>SUM($B$5:B30)</f>
        <v>3449.6881700000004</v>
      </c>
      <c r="J30" s="25">
        <f t="shared" si="7"/>
        <v>-86.311829999999645</v>
      </c>
      <c r="K30" s="25">
        <f>MIN($J$5:J30,0)</f>
        <v>-104.54463000000032</v>
      </c>
      <c r="L30" s="29">
        <f t="shared" si="8"/>
        <v>18.23280000000068</v>
      </c>
      <c r="M30" s="17">
        <f t="shared" si="9"/>
        <v>86.311829999999645</v>
      </c>
      <c r="N30" s="2">
        <f t="shared" si="10"/>
        <v>3536</v>
      </c>
      <c r="O30" s="2">
        <f t="shared" si="11"/>
        <v>0</v>
      </c>
      <c r="P30" s="19">
        <f t="shared" si="15"/>
        <v>3554.2327999999998</v>
      </c>
      <c r="Q30" s="19">
        <f t="shared" si="16"/>
        <v>104.54462999999942</v>
      </c>
    </row>
    <row r="31" spans="1:17" x14ac:dyDescent="0.25">
      <c r="A31" s="1">
        <v>136</v>
      </c>
      <c r="B31" s="1">
        <v>35.903500000000001</v>
      </c>
      <c r="C31" s="16">
        <f t="shared" si="1"/>
        <v>0</v>
      </c>
      <c r="D31" s="2">
        <f t="shared" si="12"/>
        <v>18.232799999999941</v>
      </c>
      <c r="E31" s="2">
        <f t="shared" si="5"/>
        <v>54.136299999999942</v>
      </c>
      <c r="F31" s="2">
        <f t="shared" si="2"/>
        <v>-81.863700000000051</v>
      </c>
      <c r="G31" s="2">
        <f t="shared" si="6"/>
        <v>-100.09649999999999</v>
      </c>
      <c r="H31" s="25">
        <f>SUM($A$5:A31)</f>
        <v>3672</v>
      </c>
      <c r="I31" s="25">
        <f>SUM($B$5:B31)</f>
        <v>3485.5916700000002</v>
      </c>
      <c r="J31" s="25">
        <f t="shared" si="7"/>
        <v>-186.40832999999975</v>
      </c>
      <c r="K31" s="25">
        <f>MIN($J$5:J31,0)</f>
        <v>-186.40832999999975</v>
      </c>
      <c r="L31" s="29">
        <f t="shared" si="8"/>
        <v>0</v>
      </c>
      <c r="M31" s="22">
        <f t="shared" si="9"/>
        <v>186.40832999999975</v>
      </c>
      <c r="N31" s="2">
        <f t="shared" si="10"/>
        <v>3672</v>
      </c>
      <c r="O31" s="2">
        <f t="shared" si="11"/>
        <v>0</v>
      </c>
      <c r="P31" s="19">
        <f t="shared" si="15"/>
        <v>3672</v>
      </c>
      <c r="Q31" s="19">
        <f t="shared" si="16"/>
        <v>186.40832999999975</v>
      </c>
    </row>
    <row r="32" spans="1:17" x14ac:dyDescent="0.25">
      <c r="A32" s="1">
        <v>136</v>
      </c>
      <c r="B32" s="1">
        <v>15.8</v>
      </c>
      <c r="C32" s="16">
        <f t="shared" si="1"/>
        <v>0</v>
      </c>
      <c r="D32" s="2">
        <f t="shared" si="12"/>
        <v>0</v>
      </c>
      <c r="E32" s="2">
        <f t="shared" si="5"/>
        <v>15.8</v>
      </c>
      <c r="F32" s="2">
        <f t="shared" si="2"/>
        <v>-120.2</v>
      </c>
      <c r="G32" s="2">
        <f t="shared" si="6"/>
        <v>-38.336299999999952</v>
      </c>
      <c r="H32" s="25">
        <f>SUM($A$5:A32)</f>
        <v>3808</v>
      </c>
      <c r="I32" s="25">
        <f>SUM($B$5:B32)</f>
        <v>3501.3916700000004</v>
      </c>
      <c r="J32" s="25">
        <f t="shared" si="7"/>
        <v>-306.60832999999957</v>
      </c>
      <c r="K32" s="25">
        <f>MIN($J$5:J32,0)</f>
        <v>-306.60832999999957</v>
      </c>
      <c r="L32" s="29">
        <f t="shared" si="8"/>
        <v>0</v>
      </c>
      <c r="M32" s="22">
        <f t="shared" si="9"/>
        <v>306.60832999999957</v>
      </c>
      <c r="N32" s="2">
        <f t="shared" si="10"/>
        <v>3808</v>
      </c>
      <c r="O32" s="2">
        <f t="shared" si="11"/>
        <v>0</v>
      </c>
      <c r="P32" s="19">
        <f t="shared" si="15"/>
        <v>3808</v>
      </c>
      <c r="Q32" s="19">
        <f t="shared" si="16"/>
        <v>306.60832999999957</v>
      </c>
    </row>
    <row r="33" spans="1:17" x14ac:dyDescent="0.25">
      <c r="A33" s="1">
        <v>136</v>
      </c>
      <c r="B33" s="1">
        <v>53.771000000000001</v>
      </c>
      <c r="C33" s="16">
        <f t="shared" si="1"/>
        <v>0</v>
      </c>
      <c r="D33" s="2">
        <f t="shared" si="12"/>
        <v>0</v>
      </c>
      <c r="E33" s="2">
        <f t="shared" si="5"/>
        <v>53.771000000000001</v>
      </c>
      <c r="F33" s="2">
        <f t="shared" si="2"/>
        <v>-82.228999999999999</v>
      </c>
      <c r="G33" s="2">
        <f t="shared" si="6"/>
        <v>37.971000000000004</v>
      </c>
      <c r="H33" s="25">
        <f>SUM($A$5:A33)</f>
        <v>3944</v>
      </c>
      <c r="I33" s="25">
        <f>SUM($B$5:B33)</f>
        <v>3555.1626700000006</v>
      </c>
      <c r="J33" s="25">
        <f t="shared" si="7"/>
        <v>-388.83732999999938</v>
      </c>
      <c r="K33" s="25">
        <f>MIN($J$5:J33,0)</f>
        <v>-388.83732999999938</v>
      </c>
      <c r="L33" s="29">
        <f t="shared" si="8"/>
        <v>0</v>
      </c>
      <c r="M33" s="22">
        <f t="shared" si="9"/>
        <v>388.83732999999938</v>
      </c>
      <c r="N33" s="2">
        <f t="shared" si="10"/>
        <v>3944</v>
      </c>
      <c r="O33" s="2">
        <f t="shared" si="11"/>
        <v>0</v>
      </c>
      <c r="P33" s="19">
        <f t="shared" si="15"/>
        <v>3944</v>
      </c>
      <c r="Q33" s="19">
        <f t="shared" si="16"/>
        <v>388.83732999999938</v>
      </c>
    </row>
    <row r="34" spans="1:17" x14ac:dyDescent="0.25">
      <c r="A34" s="1">
        <v>136</v>
      </c>
      <c r="B34" s="1">
        <v>114.4988</v>
      </c>
      <c r="C34" s="16">
        <f t="shared" si="1"/>
        <v>0</v>
      </c>
      <c r="D34" s="2">
        <f t="shared" si="12"/>
        <v>0</v>
      </c>
      <c r="E34" s="2">
        <f t="shared" si="5"/>
        <v>114.4988</v>
      </c>
      <c r="F34" s="2">
        <f t="shared" si="2"/>
        <v>-21.501199999999997</v>
      </c>
      <c r="G34" s="2">
        <f t="shared" si="6"/>
        <v>60.727800000000002</v>
      </c>
      <c r="H34" s="25">
        <f>SUM($A$5:A34)</f>
        <v>4080</v>
      </c>
      <c r="I34" s="25">
        <f>SUM($B$5:B34)</f>
        <v>3669.6614700000005</v>
      </c>
      <c r="J34" s="25">
        <f t="shared" si="7"/>
        <v>-410.33852999999954</v>
      </c>
      <c r="K34" s="25">
        <f>MIN($J$5:J34,0)</f>
        <v>-410.33852999999954</v>
      </c>
      <c r="L34" s="29">
        <f t="shared" si="8"/>
        <v>0</v>
      </c>
      <c r="M34" s="22">
        <f t="shared" si="9"/>
        <v>410.33852999999954</v>
      </c>
      <c r="N34" s="2">
        <f t="shared" si="10"/>
        <v>4080</v>
      </c>
      <c r="O34" s="2">
        <f t="shared" si="11"/>
        <v>0</v>
      </c>
      <c r="P34" s="19">
        <f t="shared" si="15"/>
        <v>4080</v>
      </c>
      <c r="Q34" s="19">
        <f t="shared" si="16"/>
        <v>410.33852999999954</v>
      </c>
    </row>
  </sheetData>
  <conditionalFormatting sqref="F1:F1048576">
    <cfRule type="cellIs" dxfId="8" priority="3" operator="lessThan">
      <formula>0</formula>
    </cfRule>
  </conditionalFormatting>
  <conditionalFormatting sqref="J1:L1048576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BA24-1D05-47B9-A7C1-95450F9A4D12}">
  <dimension ref="A1:Q34"/>
  <sheetViews>
    <sheetView workbookViewId="0">
      <selection activeCell="J5" sqref="J5:J25"/>
    </sheetView>
  </sheetViews>
  <sheetFormatPr defaultRowHeight="15" x14ac:dyDescent="0.25"/>
  <cols>
    <col min="1" max="1" width="10.28515625" bestFit="1" customWidth="1"/>
    <col min="2" max="4" width="9.5703125" bestFit="1" customWidth="1"/>
    <col min="5" max="6" width="9.5703125" customWidth="1"/>
    <col min="7" max="7" width="15.140625" customWidth="1"/>
    <col min="8" max="8" width="11.42578125" bestFit="1" customWidth="1"/>
    <col min="9" max="9" width="11.5703125" bestFit="1" customWidth="1"/>
    <col min="10" max="10" width="11.7109375" bestFit="1" customWidth="1"/>
    <col min="12" max="12" width="9.5703125" bestFit="1" customWidth="1"/>
    <col min="14" max="14" width="9.5703125" bestFit="1" customWidth="1"/>
  </cols>
  <sheetData>
    <row r="1" spans="1:17" x14ac:dyDescent="0.25">
      <c r="A1" t="s">
        <v>3</v>
      </c>
      <c r="B1" t="s">
        <v>4</v>
      </c>
      <c r="C1" t="s">
        <v>5</v>
      </c>
    </row>
    <row r="2" spans="1:17" x14ac:dyDescent="0.25">
      <c r="A2" t="s">
        <v>2</v>
      </c>
      <c r="B2" t="s">
        <v>0</v>
      </c>
      <c r="C2" t="s">
        <v>1</v>
      </c>
    </row>
    <row r="3" spans="1:17" x14ac:dyDescent="0.25">
      <c r="A3" t="s">
        <v>9</v>
      </c>
      <c r="E3" s="3" t="s">
        <v>6</v>
      </c>
    </row>
    <row r="4" spans="1:17" x14ac:dyDescent="0.25">
      <c r="A4" s="1">
        <v>0</v>
      </c>
      <c r="B4" s="1">
        <v>0</v>
      </c>
      <c r="C4" s="4">
        <f>IF((B4+C3)&gt;A4,(B4+C3)-A4,0)</f>
        <v>0</v>
      </c>
      <c r="D4" s="2">
        <f>C3</f>
        <v>0</v>
      </c>
      <c r="E4" s="2">
        <f>B4+C3</f>
        <v>0</v>
      </c>
      <c r="F4" s="2">
        <f>E4-A4</f>
        <v>0</v>
      </c>
      <c r="H4" s="24" t="s">
        <v>10</v>
      </c>
      <c r="I4" s="24" t="s">
        <v>11</v>
      </c>
      <c r="J4" s="24" t="s">
        <v>12</v>
      </c>
      <c r="P4" s="24" t="s">
        <v>13</v>
      </c>
    </row>
    <row r="5" spans="1:17" x14ac:dyDescent="0.25">
      <c r="A5" s="1">
        <v>136</v>
      </c>
      <c r="B5" s="1">
        <v>139.30779999999999</v>
      </c>
      <c r="C5" s="4">
        <f>IF((B5+D5)&gt;A5,(B5+D5)-A5,0)</f>
        <v>3.3077999999999861</v>
      </c>
      <c r="D5" s="2">
        <f t="shared" ref="D5" si="0">C4</f>
        <v>0</v>
      </c>
      <c r="E5" s="2">
        <f>B5+D5</f>
        <v>139.30779999999999</v>
      </c>
      <c r="F5" s="2">
        <f t="shared" ref="F5:F34" si="1">E5-A5</f>
        <v>3.3077999999999861</v>
      </c>
      <c r="G5" s="2">
        <f>F5-F4</f>
        <v>3.3077999999999861</v>
      </c>
      <c r="H5" s="25">
        <f>SUM($A$5:A5)</f>
        <v>136</v>
      </c>
      <c r="I5" s="25">
        <f>SUM($B$5:B5)</f>
        <v>139.30779999999999</v>
      </c>
      <c r="J5" s="25">
        <f>I5-H5</f>
        <v>3.3077999999999861</v>
      </c>
      <c r="K5" s="17">
        <f>IF(J5&lt;0,-J5,0)</f>
        <v>0</v>
      </c>
      <c r="L5" s="2">
        <f>I5+K5</f>
        <v>139.30779999999999</v>
      </c>
      <c r="M5" s="2">
        <f>L5-H5</f>
        <v>3.3077999999999861</v>
      </c>
      <c r="N5" s="19">
        <f t="shared" ref="N5:N11" si="2">C5+H5</f>
        <v>139.30779999999999</v>
      </c>
      <c r="O5" s="19">
        <f t="shared" ref="O5:O11" si="3">N5-I5</f>
        <v>0</v>
      </c>
      <c r="P5" s="25">
        <f>-MIN($J$5:J5,0)</f>
        <v>0</v>
      </c>
      <c r="Q5" s="8">
        <f>SUM(I5,P5)-H5</f>
        <v>3.3077999999999861</v>
      </c>
    </row>
    <row r="6" spans="1:17" x14ac:dyDescent="0.25">
      <c r="A6" s="1">
        <v>136</v>
      </c>
      <c r="B6" s="1">
        <v>168.965</v>
      </c>
      <c r="C6" s="4">
        <f t="shared" ref="C6:C34" si="4">IF((B6+D6)&gt;A6,(B6+D6)-A6,0)</f>
        <v>36.272799999999989</v>
      </c>
      <c r="D6" s="2">
        <f>IF((B5+D5)&gt;A5,(B5+D5)-A5,0)</f>
        <v>3.3077999999999861</v>
      </c>
      <c r="E6" s="2">
        <f t="shared" ref="E6:E34" si="5">B6+D6</f>
        <v>172.27279999999999</v>
      </c>
      <c r="F6" s="2">
        <f t="shared" si="1"/>
        <v>36.272799999999989</v>
      </c>
      <c r="G6" s="2">
        <f t="shared" ref="G6:G34" si="6">F6-F5</f>
        <v>32.965000000000003</v>
      </c>
      <c r="H6" s="25">
        <f>SUM($A$5:A6)</f>
        <v>272</v>
      </c>
      <c r="I6" s="25">
        <f>SUM($B$5:B6)</f>
        <v>308.27279999999996</v>
      </c>
      <c r="J6" s="25">
        <f t="shared" ref="J6:J34" si="7">I6-H6</f>
        <v>36.272799999999961</v>
      </c>
      <c r="K6" s="17">
        <f t="shared" ref="K6:K34" si="8">IF(J6&lt;0,-J6,0)</f>
        <v>0</v>
      </c>
      <c r="L6" s="2">
        <f t="shared" ref="L6:L34" si="9">I6+K6</f>
        <v>308.27279999999996</v>
      </c>
      <c r="M6" s="2">
        <f t="shared" ref="M6:M34" si="10">L6-H6</f>
        <v>36.272799999999961</v>
      </c>
      <c r="N6" s="19">
        <f t="shared" si="2"/>
        <v>308.27279999999996</v>
      </c>
      <c r="O6" s="19">
        <f t="shared" si="3"/>
        <v>0</v>
      </c>
      <c r="P6" s="25">
        <f>-MIN($J$5:J6,0)</f>
        <v>0</v>
      </c>
      <c r="Q6" s="8">
        <f t="shared" ref="Q6:Q34" si="11">SUM(I6,P6)-H6</f>
        <v>36.272799999999961</v>
      </c>
    </row>
    <row r="7" spans="1:17" x14ac:dyDescent="0.25">
      <c r="A7" s="1">
        <v>136</v>
      </c>
      <c r="B7" s="1">
        <v>104.5967</v>
      </c>
      <c r="C7" s="4">
        <f t="shared" si="4"/>
        <v>4.8694999999999879</v>
      </c>
      <c r="D7" s="2">
        <f t="shared" ref="D7:D34" si="12">IF((B6+D6)&gt;A6,(B6+D6)-A6,0)</f>
        <v>36.272799999999989</v>
      </c>
      <c r="E7" s="2">
        <f t="shared" si="5"/>
        <v>140.86949999999999</v>
      </c>
      <c r="F7" s="2">
        <f t="shared" si="1"/>
        <v>4.8694999999999879</v>
      </c>
      <c r="G7" s="2">
        <f t="shared" si="6"/>
        <v>-31.403300000000002</v>
      </c>
      <c r="H7" s="25">
        <f>SUM($A$5:A7)</f>
        <v>408</v>
      </c>
      <c r="I7" s="25">
        <f>SUM($B$5:B7)</f>
        <v>412.86949999999996</v>
      </c>
      <c r="J7" s="25">
        <f t="shared" si="7"/>
        <v>4.8694999999999595</v>
      </c>
      <c r="K7" s="17">
        <f t="shared" si="8"/>
        <v>0</v>
      </c>
      <c r="L7" s="2">
        <f t="shared" si="9"/>
        <v>412.86949999999996</v>
      </c>
      <c r="M7" s="2">
        <f t="shared" si="10"/>
        <v>4.8694999999999595</v>
      </c>
      <c r="N7" s="19">
        <f t="shared" si="2"/>
        <v>412.86950000000002</v>
      </c>
      <c r="O7" s="19">
        <f t="shared" si="3"/>
        <v>0</v>
      </c>
      <c r="P7" s="25">
        <f>-MIN($J$5:J7,0)</f>
        <v>0</v>
      </c>
      <c r="Q7" s="8">
        <f t="shared" si="11"/>
        <v>4.8694999999999595</v>
      </c>
    </row>
    <row r="8" spans="1:17" x14ac:dyDescent="0.25">
      <c r="A8" s="1">
        <v>136</v>
      </c>
      <c r="B8" s="1">
        <v>198.73330000000001</v>
      </c>
      <c r="C8" s="4">
        <f t="shared" si="4"/>
        <v>67.602800000000002</v>
      </c>
      <c r="D8" s="2">
        <f t="shared" si="12"/>
        <v>4.8694999999999879</v>
      </c>
      <c r="E8" s="2">
        <f t="shared" si="5"/>
        <v>203.6028</v>
      </c>
      <c r="F8" s="2">
        <f t="shared" si="1"/>
        <v>67.602800000000002</v>
      </c>
      <c r="G8" s="2">
        <f t="shared" si="6"/>
        <v>62.733300000000014</v>
      </c>
      <c r="H8" s="25">
        <f>SUM($A$5:A8)</f>
        <v>544</v>
      </c>
      <c r="I8" s="25">
        <f>SUM($B$5:B8)</f>
        <v>611.6028</v>
      </c>
      <c r="J8" s="25">
        <f t="shared" si="7"/>
        <v>67.602800000000002</v>
      </c>
      <c r="K8" s="17">
        <f t="shared" si="8"/>
        <v>0</v>
      </c>
      <c r="L8" s="2">
        <f t="shared" si="9"/>
        <v>611.6028</v>
      </c>
      <c r="M8" s="2">
        <f t="shared" si="10"/>
        <v>67.602800000000002</v>
      </c>
      <c r="N8" s="19">
        <f t="shared" si="2"/>
        <v>611.6028</v>
      </c>
      <c r="O8" s="19">
        <f t="shared" si="3"/>
        <v>0</v>
      </c>
      <c r="P8" s="25">
        <f>-MIN($J$5:J8,0)</f>
        <v>0</v>
      </c>
      <c r="Q8" s="8">
        <f t="shared" si="11"/>
        <v>67.602800000000002</v>
      </c>
    </row>
    <row r="9" spans="1:17" s="10" customFormat="1" x14ac:dyDescent="0.25">
      <c r="A9" s="4">
        <v>136</v>
      </c>
      <c r="B9" s="15">
        <v>20</v>
      </c>
      <c r="C9" s="16">
        <f t="shared" si="4"/>
        <v>0</v>
      </c>
      <c r="D9" s="2">
        <f t="shared" si="12"/>
        <v>67.602800000000002</v>
      </c>
      <c r="E9" s="2">
        <f t="shared" si="5"/>
        <v>87.602800000000002</v>
      </c>
      <c r="F9" s="2">
        <f t="shared" si="1"/>
        <v>-48.397199999999998</v>
      </c>
      <c r="G9" s="8">
        <f t="shared" si="6"/>
        <v>-116</v>
      </c>
      <c r="H9" s="25">
        <f>SUM($A$5:A9)</f>
        <v>680</v>
      </c>
      <c r="I9" s="25">
        <f>SUM($B$5:B9)</f>
        <v>631.6028</v>
      </c>
      <c r="J9" s="25">
        <f t="shared" si="7"/>
        <v>-48.397199999999998</v>
      </c>
      <c r="K9" s="22">
        <f t="shared" si="8"/>
        <v>48.397199999999998</v>
      </c>
      <c r="L9" s="2">
        <f t="shared" si="9"/>
        <v>680</v>
      </c>
      <c r="M9" s="2">
        <f t="shared" si="10"/>
        <v>0</v>
      </c>
      <c r="N9" s="19">
        <f t="shared" si="2"/>
        <v>680</v>
      </c>
      <c r="O9" s="19">
        <f t="shared" si="3"/>
        <v>48.397199999999998</v>
      </c>
      <c r="P9" s="25">
        <f>-MIN($J$5:J9,0)</f>
        <v>48.397199999999998</v>
      </c>
      <c r="Q9" s="23">
        <f t="shared" si="11"/>
        <v>0</v>
      </c>
    </row>
    <row r="10" spans="1:17" s="10" customFormat="1" x14ac:dyDescent="0.25">
      <c r="A10" s="4">
        <v>136</v>
      </c>
      <c r="B10" s="4">
        <v>113.4503</v>
      </c>
      <c r="C10" s="16">
        <f t="shared" si="4"/>
        <v>0</v>
      </c>
      <c r="D10" s="2">
        <f t="shared" si="12"/>
        <v>0</v>
      </c>
      <c r="E10" s="2">
        <f t="shared" si="5"/>
        <v>113.4503</v>
      </c>
      <c r="F10" s="2">
        <f t="shared" si="1"/>
        <v>-22.549700000000001</v>
      </c>
      <c r="G10" s="8">
        <f t="shared" si="6"/>
        <v>25.847499999999997</v>
      </c>
      <c r="H10" s="25">
        <f>SUM($A$5:A10)</f>
        <v>816</v>
      </c>
      <c r="I10" s="25">
        <f>SUM($B$5:B10)</f>
        <v>745.05309999999997</v>
      </c>
      <c r="J10" s="25">
        <f t="shared" si="7"/>
        <v>-70.946900000000028</v>
      </c>
      <c r="K10" s="22">
        <f t="shared" si="8"/>
        <v>70.946900000000028</v>
      </c>
      <c r="L10" s="2">
        <f t="shared" si="9"/>
        <v>816</v>
      </c>
      <c r="M10" s="2">
        <f t="shared" si="10"/>
        <v>0</v>
      </c>
      <c r="N10" s="19">
        <f t="shared" si="2"/>
        <v>816</v>
      </c>
      <c r="O10" s="19">
        <f t="shared" si="3"/>
        <v>70.946900000000028</v>
      </c>
      <c r="P10" s="25">
        <f>-MIN($J$5:J10,0)</f>
        <v>70.946900000000028</v>
      </c>
      <c r="Q10" s="23">
        <f t="shared" si="11"/>
        <v>0</v>
      </c>
    </row>
    <row r="11" spans="1:17" s="14" customFormat="1" x14ac:dyDescent="0.25">
      <c r="A11" s="11">
        <v>136</v>
      </c>
      <c r="B11" s="11">
        <v>125.1622</v>
      </c>
      <c r="C11" s="16">
        <f t="shared" si="4"/>
        <v>0</v>
      </c>
      <c r="D11" s="2">
        <f t="shared" si="12"/>
        <v>0</v>
      </c>
      <c r="E11" s="2">
        <f t="shared" si="5"/>
        <v>125.1622</v>
      </c>
      <c r="F11" s="2">
        <f t="shared" si="1"/>
        <v>-10.837800000000001</v>
      </c>
      <c r="G11" s="12">
        <f t="shared" si="6"/>
        <v>11.7119</v>
      </c>
      <c r="H11" s="25">
        <f>SUM($A$5:A11)</f>
        <v>952</v>
      </c>
      <c r="I11" s="25">
        <f>SUM($B$5:B11)</f>
        <v>870.21529999999996</v>
      </c>
      <c r="J11" s="25">
        <f t="shared" si="7"/>
        <v>-81.784700000000043</v>
      </c>
      <c r="K11" s="22">
        <f t="shared" si="8"/>
        <v>81.784700000000043</v>
      </c>
      <c r="L11" s="2">
        <f t="shared" si="9"/>
        <v>952</v>
      </c>
      <c r="M11" s="2">
        <f t="shared" si="10"/>
        <v>0</v>
      </c>
      <c r="N11" s="19">
        <f t="shared" si="2"/>
        <v>952</v>
      </c>
      <c r="O11" s="19">
        <f t="shared" si="3"/>
        <v>81.784700000000043</v>
      </c>
      <c r="P11" s="25">
        <f>-MIN($J$5:J11,0)</f>
        <v>81.784700000000043</v>
      </c>
      <c r="Q11" s="23">
        <f t="shared" si="11"/>
        <v>0</v>
      </c>
    </row>
    <row r="12" spans="1:17" s="21" customFormat="1" x14ac:dyDescent="0.25">
      <c r="A12" s="18">
        <v>136</v>
      </c>
      <c r="B12" s="18">
        <v>168.5085</v>
      </c>
      <c r="C12" s="18">
        <f t="shared" si="4"/>
        <v>32.508499999999998</v>
      </c>
      <c r="D12" s="19">
        <f t="shared" si="12"/>
        <v>0</v>
      </c>
      <c r="E12" s="19">
        <f t="shared" si="5"/>
        <v>168.5085</v>
      </c>
      <c r="F12" s="19">
        <f t="shared" si="1"/>
        <v>32.508499999999998</v>
      </c>
      <c r="G12" s="19">
        <f t="shared" si="6"/>
        <v>43.346299999999999</v>
      </c>
      <c r="H12" s="25">
        <f>SUM($A$5:A12)</f>
        <v>1088</v>
      </c>
      <c r="I12" s="25">
        <f>SUM($B$5:B12)</f>
        <v>1038.7238</v>
      </c>
      <c r="J12" s="25">
        <f t="shared" si="7"/>
        <v>-49.276200000000017</v>
      </c>
      <c r="K12" s="20">
        <f t="shared" si="8"/>
        <v>49.276200000000017</v>
      </c>
      <c r="L12" s="19">
        <f t="shared" si="9"/>
        <v>1088</v>
      </c>
      <c r="M12" s="19">
        <f t="shared" si="10"/>
        <v>0</v>
      </c>
      <c r="N12" s="19">
        <f>C12+H12</f>
        <v>1120.5084999999999</v>
      </c>
      <c r="O12" s="19">
        <f>N12-I12</f>
        <v>81.78469999999993</v>
      </c>
      <c r="P12" s="25">
        <f>-MIN($J$5:J12,0)</f>
        <v>81.784700000000043</v>
      </c>
      <c r="Q12" s="8">
        <f t="shared" si="11"/>
        <v>32.508499999999913</v>
      </c>
    </row>
    <row r="13" spans="1:17" x14ac:dyDescent="0.25">
      <c r="A13" s="1">
        <v>136</v>
      </c>
      <c r="B13" s="1">
        <v>232.7765</v>
      </c>
      <c r="C13" s="4">
        <f t="shared" si="4"/>
        <v>129.28499999999997</v>
      </c>
      <c r="D13" s="2">
        <f t="shared" si="12"/>
        <v>32.508499999999998</v>
      </c>
      <c r="E13" s="2">
        <f t="shared" si="5"/>
        <v>265.28499999999997</v>
      </c>
      <c r="F13" s="2">
        <f t="shared" si="1"/>
        <v>129.28499999999997</v>
      </c>
      <c r="G13" s="2">
        <f t="shared" si="6"/>
        <v>96.77649999999997</v>
      </c>
      <c r="H13" s="25">
        <f>SUM($A$5:A13)</f>
        <v>1224</v>
      </c>
      <c r="I13" s="25">
        <f>SUM($B$5:B13)</f>
        <v>1271.5002999999999</v>
      </c>
      <c r="J13" s="25">
        <f t="shared" si="7"/>
        <v>47.500299999999925</v>
      </c>
      <c r="K13" s="17">
        <f t="shared" si="8"/>
        <v>0</v>
      </c>
      <c r="L13" s="2">
        <f t="shared" si="9"/>
        <v>1271.5002999999999</v>
      </c>
      <c r="M13" s="2">
        <f t="shared" si="10"/>
        <v>47.500299999999925</v>
      </c>
      <c r="N13" s="19">
        <f t="shared" ref="N13:N34" si="13">C13+H13</f>
        <v>1353.2849999999999</v>
      </c>
      <c r="O13" s="19">
        <f t="shared" ref="O13:O34" si="14">N13-I13</f>
        <v>81.78469999999993</v>
      </c>
      <c r="P13" s="25">
        <f>-MIN($J$5:J13,0)</f>
        <v>81.784700000000043</v>
      </c>
      <c r="Q13" s="8">
        <f t="shared" si="11"/>
        <v>129.28499999999985</v>
      </c>
    </row>
    <row r="14" spans="1:17" x14ac:dyDescent="0.25">
      <c r="A14" s="1">
        <v>136</v>
      </c>
      <c r="B14" s="1">
        <v>113.7482</v>
      </c>
      <c r="C14" s="4">
        <f t="shared" si="4"/>
        <v>107.03319999999997</v>
      </c>
      <c r="D14" s="2">
        <f t="shared" si="12"/>
        <v>129.28499999999997</v>
      </c>
      <c r="E14" s="2">
        <f t="shared" si="5"/>
        <v>243.03319999999997</v>
      </c>
      <c r="F14" s="2">
        <f t="shared" si="1"/>
        <v>107.03319999999997</v>
      </c>
      <c r="G14" s="2">
        <f t="shared" si="6"/>
        <v>-22.251800000000003</v>
      </c>
      <c r="H14" s="25">
        <f>SUM($A$5:A14)</f>
        <v>1360</v>
      </c>
      <c r="I14" s="25">
        <f>SUM($B$5:B14)</f>
        <v>1385.2484999999999</v>
      </c>
      <c r="J14" s="25">
        <f t="shared" si="7"/>
        <v>25.248499999999922</v>
      </c>
      <c r="K14" s="17">
        <f t="shared" si="8"/>
        <v>0</v>
      </c>
      <c r="L14" s="2">
        <f t="shared" si="9"/>
        <v>1385.2484999999999</v>
      </c>
      <c r="M14" s="2">
        <f t="shared" si="10"/>
        <v>25.248499999999922</v>
      </c>
      <c r="N14" s="19">
        <f t="shared" si="13"/>
        <v>1467.0331999999999</v>
      </c>
      <c r="O14" s="19">
        <f t="shared" si="14"/>
        <v>81.78469999999993</v>
      </c>
      <c r="P14" s="25">
        <f>-MIN($J$5:J14,0)</f>
        <v>81.784700000000043</v>
      </c>
      <c r="Q14" s="8">
        <f t="shared" si="11"/>
        <v>107.03319999999985</v>
      </c>
    </row>
    <row r="15" spans="1:17" x14ac:dyDescent="0.25">
      <c r="A15" s="1">
        <v>136</v>
      </c>
      <c r="B15" s="1">
        <v>84.603499999999997</v>
      </c>
      <c r="C15" s="4">
        <f t="shared" si="4"/>
        <v>55.636699999999962</v>
      </c>
      <c r="D15" s="2">
        <f t="shared" si="12"/>
        <v>107.03319999999997</v>
      </c>
      <c r="E15" s="2">
        <f t="shared" si="5"/>
        <v>191.63669999999996</v>
      </c>
      <c r="F15" s="2">
        <f t="shared" si="1"/>
        <v>55.636699999999962</v>
      </c>
      <c r="G15" s="2">
        <f t="shared" si="6"/>
        <v>-51.396500000000003</v>
      </c>
      <c r="H15" s="25">
        <f>SUM($A$5:A15)</f>
        <v>1496</v>
      </c>
      <c r="I15" s="25">
        <f>SUM($B$5:B15)</f>
        <v>1469.8519999999999</v>
      </c>
      <c r="J15" s="25">
        <f t="shared" si="7"/>
        <v>-26.148000000000138</v>
      </c>
      <c r="K15" s="17">
        <f t="shared" si="8"/>
        <v>26.148000000000138</v>
      </c>
      <c r="L15" s="2">
        <f t="shared" si="9"/>
        <v>1496</v>
      </c>
      <c r="M15" s="2">
        <f t="shared" si="10"/>
        <v>0</v>
      </c>
      <c r="N15" s="19">
        <f t="shared" si="13"/>
        <v>1551.6367</v>
      </c>
      <c r="O15" s="19">
        <f t="shared" si="14"/>
        <v>81.784700000000157</v>
      </c>
      <c r="P15" s="25">
        <f>-MIN($J$5:J15,0)</f>
        <v>81.784700000000043</v>
      </c>
      <c r="Q15" s="8">
        <f t="shared" si="11"/>
        <v>55.636700000000019</v>
      </c>
    </row>
    <row r="16" spans="1:17" x14ac:dyDescent="0.25">
      <c r="A16" s="1">
        <v>136</v>
      </c>
      <c r="B16" s="1">
        <v>240.1747</v>
      </c>
      <c r="C16" s="4">
        <f t="shared" si="4"/>
        <v>159.81139999999994</v>
      </c>
      <c r="D16" s="2">
        <f t="shared" si="12"/>
        <v>55.636699999999962</v>
      </c>
      <c r="E16" s="2">
        <f t="shared" si="5"/>
        <v>295.81139999999994</v>
      </c>
      <c r="F16" s="2">
        <f t="shared" si="1"/>
        <v>159.81139999999994</v>
      </c>
      <c r="G16" s="2">
        <f t="shared" si="6"/>
        <v>104.17469999999997</v>
      </c>
      <c r="H16" s="25">
        <f>SUM($A$5:A16)</f>
        <v>1632</v>
      </c>
      <c r="I16" s="25">
        <f>SUM($B$5:B16)</f>
        <v>1710.0266999999999</v>
      </c>
      <c r="J16" s="25">
        <f t="shared" si="7"/>
        <v>78.026699999999892</v>
      </c>
      <c r="K16" s="17">
        <f t="shared" si="8"/>
        <v>0</v>
      </c>
      <c r="L16" s="2">
        <f t="shared" si="9"/>
        <v>1710.0266999999999</v>
      </c>
      <c r="M16" s="2">
        <f t="shared" si="10"/>
        <v>78.026699999999892</v>
      </c>
      <c r="N16" s="19">
        <f t="shared" si="13"/>
        <v>1791.8114</v>
      </c>
      <c r="O16" s="19">
        <f t="shared" si="14"/>
        <v>81.784700000000157</v>
      </c>
      <c r="P16" s="25">
        <f>-MIN($J$5:J16,0)</f>
        <v>81.784700000000043</v>
      </c>
      <c r="Q16" s="8">
        <f t="shared" si="11"/>
        <v>159.81140000000005</v>
      </c>
    </row>
    <row r="17" spans="1:17" x14ac:dyDescent="0.25">
      <c r="A17" s="1">
        <v>136</v>
      </c>
      <c r="B17" s="1">
        <v>118.7595</v>
      </c>
      <c r="C17" s="4">
        <f t="shared" si="4"/>
        <v>142.57089999999994</v>
      </c>
      <c r="D17" s="2">
        <f t="shared" si="12"/>
        <v>159.81139999999994</v>
      </c>
      <c r="E17" s="2">
        <f t="shared" si="5"/>
        <v>278.57089999999994</v>
      </c>
      <c r="F17" s="2">
        <f t="shared" si="1"/>
        <v>142.57089999999994</v>
      </c>
      <c r="G17" s="2">
        <f t="shared" si="6"/>
        <v>-17.240499999999997</v>
      </c>
      <c r="H17" s="25">
        <f>SUM($A$5:A17)</f>
        <v>1768</v>
      </c>
      <c r="I17" s="25">
        <f>SUM($B$5:B17)</f>
        <v>1828.7862</v>
      </c>
      <c r="J17" s="25">
        <f t="shared" si="7"/>
        <v>60.786200000000008</v>
      </c>
      <c r="K17" s="17">
        <f t="shared" si="8"/>
        <v>0</v>
      </c>
      <c r="L17" s="2">
        <f t="shared" si="9"/>
        <v>1828.7862</v>
      </c>
      <c r="M17" s="2">
        <f t="shared" si="10"/>
        <v>60.786200000000008</v>
      </c>
      <c r="N17" s="19">
        <f t="shared" si="13"/>
        <v>1910.5708999999999</v>
      </c>
      <c r="O17" s="19">
        <f t="shared" si="14"/>
        <v>81.78469999999993</v>
      </c>
      <c r="P17" s="25">
        <f>-MIN($J$5:J17,0)</f>
        <v>81.784700000000043</v>
      </c>
      <c r="Q17" s="8">
        <f t="shared" si="11"/>
        <v>142.57090000000017</v>
      </c>
    </row>
    <row r="18" spans="1:17" x14ac:dyDescent="0.25">
      <c r="A18" s="1">
        <v>136</v>
      </c>
      <c r="B18" s="1">
        <v>125.95399999999999</v>
      </c>
      <c r="C18" s="4">
        <f t="shared" si="4"/>
        <v>132.52489999999995</v>
      </c>
      <c r="D18" s="2">
        <f t="shared" si="12"/>
        <v>142.57089999999994</v>
      </c>
      <c r="E18" s="2">
        <f t="shared" si="5"/>
        <v>268.52489999999995</v>
      </c>
      <c r="F18" s="2">
        <f t="shared" si="1"/>
        <v>132.52489999999995</v>
      </c>
      <c r="G18" s="2">
        <f t="shared" si="6"/>
        <v>-10.045999999999992</v>
      </c>
      <c r="H18" s="25">
        <f>SUM($A$5:A18)</f>
        <v>1904</v>
      </c>
      <c r="I18" s="25">
        <f>SUM($B$5:B18)</f>
        <v>1954.7402</v>
      </c>
      <c r="J18" s="25">
        <f t="shared" si="7"/>
        <v>50.740199999999959</v>
      </c>
      <c r="K18" s="17">
        <f t="shared" si="8"/>
        <v>0</v>
      </c>
      <c r="L18" s="2">
        <f t="shared" si="9"/>
        <v>1954.7402</v>
      </c>
      <c r="M18" s="2">
        <f t="shared" si="10"/>
        <v>50.740199999999959</v>
      </c>
      <c r="N18" s="19">
        <f t="shared" si="13"/>
        <v>2036.5248999999999</v>
      </c>
      <c r="O18" s="19">
        <f t="shared" si="14"/>
        <v>81.78469999999993</v>
      </c>
      <c r="P18" s="25">
        <f>-MIN($J$5:J18,0)</f>
        <v>81.784700000000043</v>
      </c>
      <c r="Q18" s="8">
        <f t="shared" si="11"/>
        <v>132.52489999999989</v>
      </c>
    </row>
    <row r="19" spans="1:17" x14ac:dyDescent="0.25">
      <c r="A19" s="1">
        <v>136</v>
      </c>
      <c r="B19" s="1">
        <v>58.101170000000003</v>
      </c>
      <c r="C19" s="4">
        <f t="shared" si="4"/>
        <v>54.626069999999942</v>
      </c>
      <c r="D19" s="2">
        <f t="shared" si="12"/>
        <v>132.52489999999995</v>
      </c>
      <c r="E19" s="2">
        <f t="shared" si="5"/>
        <v>190.62606999999994</v>
      </c>
      <c r="F19" s="2">
        <f t="shared" si="1"/>
        <v>54.626069999999942</v>
      </c>
      <c r="G19" s="2">
        <f t="shared" si="6"/>
        <v>-77.898830000000004</v>
      </c>
      <c r="H19" s="25">
        <f>SUM($A$5:A19)</f>
        <v>2040</v>
      </c>
      <c r="I19" s="25">
        <f>SUM($B$5:B19)</f>
        <v>2012.8413699999999</v>
      </c>
      <c r="J19" s="25">
        <f t="shared" si="7"/>
        <v>-27.15863000000013</v>
      </c>
      <c r="K19" s="17">
        <f t="shared" si="8"/>
        <v>27.15863000000013</v>
      </c>
      <c r="L19" s="2">
        <f t="shared" si="9"/>
        <v>2040</v>
      </c>
      <c r="M19" s="2">
        <f t="shared" si="10"/>
        <v>0</v>
      </c>
      <c r="N19" s="19">
        <f t="shared" si="13"/>
        <v>2094.6260699999998</v>
      </c>
      <c r="O19" s="19">
        <f t="shared" si="14"/>
        <v>81.78469999999993</v>
      </c>
      <c r="P19" s="25">
        <f>-MIN($J$5:J19,0)</f>
        <v>81.784700000000043</v>
      </c>
      <c r="Q19" s="8">
        <f t="shared" si="11"/>
        <v>54.6260699999998</v>
      </c>
    </row>
    <row r="20" spans="1:17" x14ac:dyDescent="0.25">
      <c r="A20" s="1">
        <v>136</v>
      </c>
      <c r="B20" s="1">
        <v>94.614000000000004</v>
      </c>
      <c r="C20" s="4">
        <f t="shared" si="4"/>
        <v>13.240069999999946</v>
      </c>
      <c r="D20" s="2">
        <f t="shared" si="12"/>
        <v>54.626069999999942</v>
      </c>
      <c r="E20" s="2">
        <f t="shared" si="5"/>
        <v>149.24006999999995</v>
      </c>
      <c r="F20" s="2">
        <f t="shared" si="1"/>
        <v>13.240069999999946</v>
      </c>
      <c r="G20" s="2">
        <f t="shared" si="6"/>
        <v>-41.385999999999996</v>
      </c>
      <c r="H20" s="25">
        <f>SUM($A$5:A20)</f>
        <v>2176</v>
      </c>
      <c r="I20" s="25">
        <f>SUM($B$5:B20)</f>
        <v>2107.4553699999997</v>
      </c>
      <c r="J20" s="25">
        <f t="shared" si="7"/>
        <v>-68.544630000000325</v>
      </c>
      <c r="K20" s="17">
        <f t="shared" si="8"/>
        <v>68.544630000000325</v>
      </c>
      <c r="L20" s="2">
        <f t="shared" si="9"/>
        <v>2176</v>
      </c>
      <c r="M20" s="2">
        <f t="shared" si="10"/>
        <v>0</v>
      </c>
      <c r="N20" s="19">
        <f t="shared" si="13"/>
        <v>2189.2400699999998</v>
      </c>
      <c r="O20" s="19">
        <f t="shared" si="14"/>
        <v>81.784700000000157</v>
      </c>
      <c r="P20" s="25">
        <f>-MIN($J$5:J20,0)</f>
        <v>81.784700000000043</v>
      </c>
      <c r="Q20" s="8">
        <f t="shared" si="11"/>
        <v>13.240069999999832</v>
      </c>
    </row>
    <row r="21" spans="1:17" x14ac:dyDescent="0.25">
      <c r="A21" s="1">
        <v>136</v>
      </c>
      <c r="B21" s="15">
        <v>100</v>
      </c>
      <c r="C21" s="16">
        <f t="shared" si="4"/>
        <v>0</v>
      </c>
      <c r="D21" s="2">
        <f t="shared" si="12"/>
        <v>13.240069999999946</v>
      </c>
      <c r="E21" s="2">
        <f t="shared" si="5"/>
        <v>113.24006999999995</v>
      </c>
      <c r="F21" s="2">
        <f t="shared" si="1"/>
        <v>-22.759930000000054</v>
      </c>
      <c r="G21" s="2">
        <f t="shared" si="6"/>
        <v>-36</v>
      </c>
      <c r="H21" s="25">
        <f>SUM($A$5:A21)</f>
        <v>2312</v>
      </c>
      <c r="I21" s="25">
        <f>SUM($B$5:B21)</f>
        <v>2207.4553699999997</v>
      </c>
      <c r="J21" s="25">
        <f t="shared" si="7"/>
        <v>-104.54463000000032</v>
      </c>
      <c r="K21" s="22">
        <f t="shared" si="8"/>
        <v>104.54463000000032</v>
      </c>
      <c r="L21" s="2">
        <f t="shared" si="9"/>
        <v>2312</v>
      </c>
      <c r="M21" s="2">
        <f t="shared" si="10"/>
        <v>0</v>
      </c>
      <c r="N21" s="19">
        <f t="shared" si="13"/>
        <v>2312</v>
      </c>
      <c r="O21" s="19">
        <f t="shared" si="14"/>
        <v>104.54463000000032</v>
      </c>
      <c r="P21" s="25">
        <f>-MIN($J$5:J21,0)</f>
        <v>104.54463000000032</v>
      </c>
      <c r="Q21" s="23">
        <f t="shared" si="11"/>
        <v>0</v>
      </c>
    </row>
    <row r="22" spans="1:17" x14ac:dyDescent="0.25">
      <c r="A22" s="1">
        <v>136</v>
      </c>
      <c r="B22" s="1">
        <v>246.238</v>
      </c>
      <c r="C22" s="4">
        <f t="shared" si="4"/>
        <v>110.238</v>
      </c>
      <c r="D22" s="2">
        <f t="shared" si="12"/>
        <v>0</v>
      </c>
      <c r="E22" s="2">
        <f t="shared" si="5"/>
        <v>246.238</v>
      </c>
      <c r="F22" s="2">
        <f t="shared" si="1"/>
        <v>110.238</v>
      </c>
      <c r="G22" s="2">
        <f t="shared" si="6"/>
        <v>132.99793000000005</v>
      </c>
      <c r="H22" s="25">
        <f>SUM($A$5:A22)</f>
        <v>2448</v>
      </c>
      <c r="I22" s="25">
        <f>SUM($B$5:B22)</f>
        <v>2453.6933699999995</v>
      </c>
      <c r="J22" s="25">
        <f t="shared" si="7"/>
        <v>5.6933699999995042</v>
      </c>
      <c r="K22" s="17">
        <f t="shared" si="8"/>
        <v>0</v>
      </c>
      <c r="L22" s="2">
        <f t="shared" si="9"/>
        <v>2453.6933699999995</v>
      </c>
      <c r="M22" s="2">
        <f t="shared" si="10"/>
        <v>5.6933699999995042</v>
      </c>
      <c r="N22" s="19">
        <f t="shared" si="13"/>
        <v>2558.2379999999998</v>
      </c>
      <c r="O22" s="19">
        <f t="shared" si="14"/>
        <v>104.54463000000032</v>
      </c>
      <c r="P22" s="25">
        <f>-MIN($J$5:J22,0)</f>
        <v>104.54463000000032</v>
      </c>
      <c r="Q22" s="8">
        <f t="shared" si="11"/>
        <v>110.23799999999983</v>
      </c>
    </row>
    <row r="23" spans="1:17" x14ac:dyDescent="0.25">
      <c r="A23" s="1">
        <v>136</v>
      </c>
      <c r="B23" s="1">
        <v>160.19880000000001</v>
      </c>
      <c r="C23" s="4">
        <f t="shared" si="4"/>
        <v>134.43680000000001</v>
      </c>
      <c r="D23" s="2">
        <f t="shared" si="12"/>
        <v>110.238</v>
      </c>
      <c r="E23" s="2">
        <f t="shared" si="5"/>
        <v>270.43680000000001</v>
      </c>
      <c r="F23" s="2">
        <f t="shared" si="1"/>
        <v>134.43680000000001</v>
      </c>
      <c r="G23" s="2">
        <f t="shared" si="6"/>
        <v>24.198800000000006</v>
      </c>
      <c r="H23" s="25">
        <f>SUM($A$5:A23)</f>
        <v>2584</v>
      </c>
      <c r="I23" s="25">
        <f>SUM($B$5:B23)</f>
        <v>2613.8921699999996</v>
      </c>
      <c r="J23" s="25">
        <f t="shared" si="7"/>
        <v>29.892169999999624</v>
      </c>
      <c r="K23" s="17">
        <f t="shared" si="8"/>
        <v>0</v>
      </c>
      <c r="L23" s="2">
        <f t="shared" si="9"/>
        <v>2613.8921699999996</v>
      </c>
      <c r="M23" s="2">
        <f t="shared" si="10"/>
        <v>29.892169999999624</v>
      </c>
      <c r="N23" s="19">
        <f t="shared" si="13"/>
        <v>2718.4367999999999</v>
      </c>
      <c r="O23" s="19">
        <f t="shared" si="14"/>
        <v>104.54463000000032</v>
      </c>
      <c r="P23" s="25">
        <f>-MIN($J$5:J23,0)</f>
        <v>104.54463000000032</v>
      </c>
      <c r="Q23" s="8">
        <f t="shared" si="11"/>
        <v>134.43679999999995</v>
      </c>
    </row>
    <row r="24" spans="1:17" x14ac:dyDescent="0.25">
      <c r="A24" s="1">
        <v>136</v>
      </c>
      <c r="B24" s="1">
        <v>67.524169999999998</v>
      </c>
      <c r="C24" s="4">
        <f t="shared" si="4"/>
        <v>65.960970000000003</v>
      </c>
      <c r="D24" s="2">
        <f t="shared" si="12"/>
        <v>134.43680000000001</v>
      </c>
      <c r="E24" s="2">
        <f t="shared" si="5"/>
        <v>201.96097</v>
      </c>
      <c r="F24" s="2">
        <f t="shared" si="1"/>
        <v>65.960970000000003</v>
      </c>
      <c r="G24" s="2">
        <f t="shared" si="6"/>
        <v>-68.475830000000002</v>
      </c>
      <c r="H24" s="25">
        <f>SUM($A$5:A24)</f>
        <v>2720</v>
      </c>
      <c r="I24" s="25">
        <f>SUM($B$5:B24)</f>
        <v>2681.4163399999998</v>
      </c>
      <c r="J24" s="25">
        <f t="shared" si="7"/>
        <v>-38.583660000000236</v>
      </c>
      <c r="K24" s="17">
        <f t="shared" si="8"/>
        <v>38.583660000000236</v>
      </c>
      <c r="L24" s="2">
        <f t="shared" si="9"/>
        <v>2720</v>
      </c>
      <c r="M24" s="2">
        <f t="shared" si="10"/>
        <v>0</v>
      </c>
      <c r="N24" s="19">
        <f t="shared" si="13"/>
        <v>2785.9609700000001</v>
      </c>
      <c r="O24" s="19">
        <f t="shared" si="14"/>
        <v>104.54463000000032</v>
      </c>
      <c r="P24" s="25">
        <f>-MIN($J$5:J24,0)</f>
        <v>104.54463000000032</v>
      </c>
      <c r="Q24" s="8">
        <f t="shared" si="11"/>
        <v>65.960970000000088</v>
      </c>
    </row>
    <row r="25" spans="1:17" x14ac:dyDescent="0.25">
      <c r="A25" s="1">
        <v>136</v>
      </c>
      <c r="B25" s="1">
        <v>198.09379999999999</v>
      </c>
      <c r="C25" s="4">
        <f t="shared" si="4"/>
        <v>128.05476999999996</v>
      </c>
      <c r="D25" s="2">
        <f t="shared" si="12"/>
        <v>65.960970000000003</v>
      </c>
      <c r="E25" s="2">
        <f t="shared" si="5"/>
        <v>264.05476999999996</v>
      </c>
      <c r="F25" s="2">
        <f t="shared" si="1"/>
        <v>128.05476999999996</v>
      </c>
      <c r="G25" s="2">
        <f t="shared" si="6"/>
        <v>62.093799999999959</v>
      </c>
      <c r="H25" s="25">
        <f>SUM($A$5:A25)</f>
        <v>2856</v>
      </c>
      <c r="I25" s="25">
        <f>SUM($B$5:B25)</f>
        <v>2879.5101399999999</v>
      </c>
      <c r="J25" s="25">
        <f t="shared" si="7"/>
        <v>23.510139999999865</v>
      </c>
      <c r="K25" s="17">
        <f t="shared" si="8"/>
        <v>0</v>
      </c>
      <c r="L25" s="2">
        <f t="shared" si="9"/>
        <v>2879.5101399999999</v>
      </c>
      <c r="M25" s="2">
        <f t="shared" si="10"/>
        <v>23.510139999999865</v>
      </c>
      <c r="N25" s="19">
        <f t="shared" si="13"/>
        <v>2984.0547699999997</v>
      </c>
      <c r="O25" s="19">
        <f t="shared" si="14"/>
        <v>104.54462999999987</v>
      </c>
      <c r="P25" s="25">
        <f>-MIN($J$5:J25,0)</f>
        <v>104.54463000000032</v>
      </c>
      <c r="Q25" s="8">
        <f t="shared" si="11"/>
        <v>128.05477000000019</v>
      </c>
    </row>
    <row r="26" spans="1:17" x14ac:dyDescent="0.25">
      <c r="A26" s="1">
        <v>136</v>
      </c>
      <c r="B26" s="1">
        <v>95.80883</v>
      </c>
      <c r="C26" s="4">
        <f t="shared" si="4"/>
        <v>87.863599999999963</v>
      </c>
      <c r="D26" s="2">
        <f t="shared" si="12"/>
        <v>128.05476999999996</v>
      </c>
      <c r="E26" s="2">
        <f t="shared" si="5"/>
        <v>223.86359999999996</v>
      </c>
      <c r="F26" s="2">
        <f t="shared" si="1"/>
        <v>87.863599999999963</v>
      </c>
      <c r="G26" s="2">
        <f t="shared" si="6"/>
        <v>-40.19117</v>
      </c>
      <c r="H26" s="25">
        <f>SUM($A$5:A26)</f>
        <v>2992</v>
      </c>
      <c r="I26" s="25">
        <f>SUM($B$5:B26)</f>
        <v>2975.3189699999998</v>
      </c>
      <c r="J26" s="25">
        <f t="shared" si="7"/>
        <v>-16.681030000000192</v>
      </c>
      <c r="K26" s="17">
        <f t="shared" si="8"/>
        <v>16.681030000000192</v>
      </c>
      <c r="L26" s="2">
        <f t="shared" si="9"/>
        <v>2992</v>
      </c>
      <c r="M26" s="2">
        <f t="shared" si="10"/>
        <v>0</v>
      </c>
      <c r="N26" s="19">
        <f t="shared" si="13"/>
        <v>3079.8636000000001</v>
      </c>
      <c r="O26" s="19">
        <f t="shared" si="14"/>
        <v>104.54463000000032</v>
      </c>
      <c r="P26" s="25">
        <f>-MIN($J$5:J26,0)</f>
        <v>104.54463000000032</v>
      </c>
      <c r="Q26" s="8">
        <f t="shared" si="11"/>
        <v>87.863600000000133</v>
      </c>
    </row>
    <row r="27" spans="1:17" x14ac:dyDescent="0.25">
      <c r="A27" s="1">
        <v>136</v>
      </c>
      <c r="B27" s="1">
        <v>87.885000000000005</v>
      </c>
      <c r="C27" s="4">
        <f t="shared" si="4"/>
        <v>39.748599999999954</v>
      </c>
      <c r="D27" s="2">
        <f t="shared" si="12"/>
        <v>87.863599999999963</v>
      </c>
      <c r="E27" s="2">
        <f t="shared" si="5"/>
        <v>175.74859999999995</v>
      </c>
      <c r="F27" s="2">
        <f t="shared" si="1"/>
        <v>39.748599999999954</v>
      </c>
      <c r="G27" s="2">
        <f t="shared" si="6"/>
        <v>-48.115000000000009</v>
      </c>
      <c r="H27" s="25">
        <f>SUM($A$5:A27)</f>
        <v>3128</v>
      </c>
      <c r="I27" s="25">
        <f>SUM($B$5:B27)</f>
        <v>3063.20397</v>
      </c>
      <c r="J27" s="25">
        <f t="shared" si="7"/>
        <v>-64.796029999999973</v>
      </c>
      <c r="K27" s="17">
        <f t="shared" si="8"/>
        <v>64.796029999999973</v>
      </c>
      <c r="L27" s="2">
        <f t="shared" si="9"/>
        <v>3128</v>
      </c>
      <c r="M27" s="2">
        <f t="shared" si="10"/>
        <v>0</v>
      </c>
      <c r="N27" s="19">
        <f t="shared" si="13"/>
        <v>3167.7485999999999</v>
      </c>
      <c r="O27" s="19">
        <f t="shared" si="14"/>
        <v>104.54462999999987</v>
      </c>
      <c r="P27" s="25">
        <f>-MIN($J$5:J27,0)</f>
        <v>104.54463000000032</v>
      </c>
      <c r="Q27" s="8">
        <f t="shared" si="11"/>
        <v>39.748600000000351</v>
      </c>
    </row>
    <row r="28" spans="1:17" x14ac:dyDescent="0.25">
      <c r="A28" s="1">
        <v>136</v>
      </c>
      <c r="B28" s="1">
        <v>116.005</v>
      </c>
      <c r="C28" s="4">
        <f t="shared" si="4"/>
        <v>19.753599999999949</v>
      </c>
      <c r="D28" s="2">
        <f t="shared" si="12"/>
        <v>39.748599999999954</v>
      </c>
      <c r="E28" s="2">
        <f t="shared" si="5"/>
        <v>155.75359999999995</v>
      </c>
      <c r="F28" s="2">
        <f t="shared" si="1"/>
        <v>19.753599999999949</v>
      </c>
      <c r="G28" s="2">
        <f t="shared" si="6"/>
        <v>-19.995000000000005</v>
      </c>
      <c r="H28" s="25">
        <f>SUM($A$5:A28)</f>
        <v>3264</v>
      </c>
      <c r="I28" s="25">
        <f>SUM($B$5:B28)</f>
        <v>3179.2089700000001</v>
      </c>
      <c r="J28" s="25">
        <f t="shared" si="7"/>
        <v>-84.791029999999864</v>
      </c>
      <c r="K28" s="17">
        <f t="shared" si="8"/>
        <v>84.791029999999864</v>
      </c>
      <c r="L28" s="2">
        <f t="shared" si="9"/>
        <v>3264</v>
      </c>
      <c r="M28" s="2">
        <f t="shared" si="10"/>
        <v>0</v>
      </c>
      <c r="N28" s="19">
        <f t="shared" si="13"/>
        <v>3283.7536</v>
      </c>
      <c r="O28" s="19">
        <f t="shared" si="14"/>
        <v>104.54462999999987</v>
      </c>
      <c r="P28" s="25">
        <f>-MIN($J$5:J28,0)</f>
        <v>104.54463000000032</v>
      </c>
      <c r="Q28" s="8">
        <f t="shared" si="11"/>
        <v>19.753600000000461</v>
      </c>
    </row>
    <row r="29" spans="1:17" x14ac:dyDescent="0.25">
      <c r="A29" s="1">
        <v>136</v>
      </c>
      <c r="B29" s="1">
        <v>232.55420000000001</v>
      </c>
      <c r="C29" s="4">
        <f t="shared" si="4"/>
        <v>116.30779999999996</v>
      </c>
      <c r="D29" s="2">
        <f t="shared" si="12"/>
        <v>19.753599999999949</v>
      </c>
      <c r="E29" s="2">
        <f t="shared" si="5"/>
        <v>252.30779999999996</v>
      </c>
      <c r="F29" s="2">
        <f t="shared" si="1"/>
        <v>116.30779999999996</v>
      </c>
      <c r="G29" s="2">
        <f t="shared" si="6"/>
        <v>96.554200000000009</v>
      </c>
      <c r="H29" s="25">
        <f>SUM($A$5:A29)</f>
        <v>3400</v>
      </c>
      <c r="I29" s="25">
        <f>SUM($B$5:B29)</f>
        <v>3411.7631700000002</v>
      </c>
      <c r="J29" s="25">
        <f t="shared" si="7"/>
        <v>11.763170000000173</v>
      </c>
      <c r="K29" s="17">
        <f t="shared" si="8"/>
        <v>0</v>
      </c>
      <c r="L29" s="2">
        <f t="shared" si="9"/>
        <v>3411.7631700000002</v>
      </c>
      <c r="M29" s="2">
        <f t="shared" si="10"/>
        <v>11.763170000000173</v>
      </c>
      <c r="N29" s="19">
        <f t="shared" si="13"/>
        <v>3516.3078</v>
      </c>
      <c r="O29" s="19">
        <f t="shared" si="14"/>
        <v>104.54462999999987</v>
      </c>
      <c r="P29" s="25">
        <f>-MIN($J$5:J29,0)</f>
        <v>104.54463000000032</v>
      </c>
      <c r="Q29" s="8">
        <f t="shared" si="11"/>
        <v>116.3078000000005</v>
      </c>
    </row>
    <row r="30" spans="1:17" x14ac:dyDescent="0.25">
      <c r="A30" s="1">
        <v>136</v>
      </c>
      <c r="B30" s="1">
        <v>37.924999999999997</v>
      </c>
      <c r="C30" s="4">
        <f t="shared" si="4"/>
        <v>18.232799999999941</v>
      </c>
      <c r="D30" s="2">
        <f t="shared" si="12"/>
        <v>116.30779999999996</v>
      </c>
      <c r="E30" s="2">
        <f t="shared" si="5"/>
        <v>154.23279999999994</v>
      </c>
      <c r="F30" s="2">
        <f t="shared" si="1"/>
        <v>18.232799999999941</v>
      </c>
      <c r="G30" s="2">
        <f t="shared" si="6"/>
        <v>-98.075000000000017</v>
      </c>
      <c r="H30" s="25">
        <f>SUM($A$5:A30)</f>
        <v>3536</v>
      </c>
      <c r="I30" s="25">
        <f>SUM($B$5:B30)</f>
        <v>3449.6881700000004</v>
      </c>
      <c r="J30" s="25">
        <f t="shared" si="7"/>
        <v>-86.311829999999645</v>
      </c>
      <c r="K30" s="17">
        <f t="shared" si="8"/>
        <v>86.311829999999645</v>
      </c>
      <c r="L30" s="2">
        <f t="shared" si="9"/>
        <v>3536</v>
      </c>
      <c r="M30" s="2">
        <f t="shared" si="10"/>
        <v>0</v>
      </c>
      <c r="N30" s="19">
        <f t="shared" si="13"/>
        <v>3554.2327999999998</v>
      </c>
      <c r="O30" s="19">
        <f t="shared" si="14"/>
        <v>104.54462999999942</v>
      </c>
      <c r="P30" s="25">
        <f>-MIN($J$5:J30,0)</f>
        <v>104.54463000000032</v>
      </c>
      <c r="Q30" s="8">
        <f t="shared" si="11"/>
        <v>18.23280000000068</v>
      </c>
    </row>
    <row r="31" spans="1:17" x14ac:dyDescent="0.25">
      <c r="A31" s="1">
        <v>136</v>
      </c>
      <c r="B31" s="1">
        <v>35.903500000000001</v>
      </c>
      <c r="C31" s="16">
        <f t="shared" si="4"/>
        <v>0</v>
      </c>
      <c r="D31" s="2">
        <f t="shared" si="12"/>
        <v>18.232799999999941</v>
      </c>
      <c r="E31" s="2">
        <f t="shared" si="5"/>
        <v>54.136299999999942</v>
      </c>
      <c r="F31" s="2">
        <f t="shared" si="1"/>
        <v>-81.863700000000051</v>
      </c>
      <c r="G31" s="2">
        <f t="shared" si="6"/>
        <v>-100.09649999999999</v>
      </c>
      <c r="H31" s="25">
        <f>SUM($A$5:A31)</f>
        <v>3672</v>
      </c>
      <c r="I31" s="25">
        <f>SUM($B$5:B31)</f>
        <v>3485.5916700000002</v>
      </c>
      <c r="J31" s="25">
        <f t="shared" si="7"/>
        <v>-186.40832999999975</v>
      </c>
      <c r="K31" s="22">
        <f t="shared" si="8"/>
        <v>186.40832999999975</v>
      </c>
      <c r="L31" s="2">
        <f t="shared" si="9"/>
        <v>3672</v>
      </c>
      <c r="M31" s="2">
        <f t="shared" si="10"/>
        <v>0</v>
      </c>
      <c r="N31" s="19">
        <f t="shared" si="13"/>
        <v>3672</v>
      </c>
      <c r="O31" s="19">
        <f t="shared" si="14"/>
        <v>186.40832999999975</v>
      </c>
      <c r="P31" s="25">
        <f>-MIN($J$5:J31,0)</f>
        <v>186.40832999999975</v>
      </c>
      <c r="Q31" s="23">
        <f t="shared" si="11"/>
        <v>0</v>
      </c>
    </row>
    <row r="32" spans="1:17" x14ac:dyDescent="0.25">
      <c r="A32" s="1">
        <v>136</v>
      </c>
      <c r="B32" s="1">
        <v>15.8</v>
      </c>
      <c r="C32" s="16">
        <f t="shared" si="4"/>
        <v>0</v>
      </c>
      <c r="D32" s="2">
        <f t="shared" si="12"/>
        <v>0</v>
      </c>
      <c r="E32" s="2">
        <f t="shared" si="5"/>
        <v>15.8</v>
      </c>
      <c r="F32" s="2">
        <f t="shared" si="1"/>
        <v>-120.2</v>
      </c>
      <c r="G32" s="2">
        <f t="shared" si="6"/>
        <v>-38.336299999999952</v>
      </c>
      <c r="H32" s="25">
        <f>SUM($A$5:A32)</f>
        <v>3808</v>
      </c>
      <c r="I32" s="25">
        <f>SUM($B$5:B32)</f>
        <v>3501.3916700000004</v>
      </c>
      <c r="J32" s="25">
        <f t="shared" si="7"/>
        <v>-306.60832999999957</v>
      </c>
      <c r="K32" s="22">
        <f t="shared" si="8"/>
        <v>306.60832999999957</v>
      </c>
      <c r="L32" s="2">
        <f t="shared" si="9"/>
        <v>3808</v>
      </c>
      <c r="M32" s="2">
        <f t="shared" si="10"/>
        <v>0</v>
      </c>
      <c r="N32" s="19">
        <f t="shared" si="13"/>
        <v>3808</v>
      </c>
      <c r="O32" s="19">
        <f t="shared" si="14"/>
        <v>306.60832999999957</v>
      </c>
      <c r="P32" s="25">
        <f>-MIN($J$5:J32,0)</f>
        <v>306.60832999999957</v>
      </c>
      <c r="Q32" s="23">
        <f t="shared" si="11"/>
        <v>0</v>
      </c>
    </row>
    <row r="33" spans="1:17" x14ac:dyDescent="0.25">
      <c r="A33" s="1">
        <v>136</v>
      </c>
      <c r="B33" s="1">
        <v>53.771000000000001</v>
      </c>
      <c r="C33" s="16">
        <f t="shared" si="4"/>
        <v>0</v>
      </c>
      <c r="D33" s="2">
        <f t="shared" si="12"/>
        <v>0</v>
      </c>
      <c r="E33" s="2">
        <f t="shared" si="5"/>
        <v>53.771000000000001</v>
      </c>
      <c r="F33" s="2">
        <f t="shared" si="1"/>
        <v>-82.228999999999999</v>
      </c>
      <c r="G33" s="2">
        <f t="shared" si="6"/>
        <v>37.971000000000004</v>
      </c>
      <c r="H33" s="25">
        <f>SUM($A$5:A33)</f>
        <v>3944</v>
      </c>
      <c r="I33" s="25">
        <f>SUM($B$5:B33)</f>
        <v>3555.1626700000006</v>
      </c>
      <c r="J33" s="25">
        <f t="shared" si="7"/>
        <v>-388.83732999999938</v>
      </c>
      <c r="K33" s="22">
        <f t="shared" si="8"/>
        <v>388.83732999999938</v>
      </c>
      <c r="L33" s="2">
        <f t="shared" si="9"/>
        <v>3944</v>
      </c>
      <c r="M33" s="2">
        <f t="shared" si="10"/>
        <v>0</v>
      </c>
      <c r="N33" s="19">
        <f t="shared" si="13"/>
        <v>3944</v>
      </c>
      <c r="O33" s="19">
        <f t="shared" si="14"/>
        <v>388.83732999999938</v>
      </c>
      <c r="P33" s="25">
        <f>-MIN($J$5:J33,0)</f>
        <v>388.83732999999938</v>
      </c>
      <c r="Q33" s="23">
        <f t="shared" si="11"/>
        <v>0</v>
      </c>
    </row>
    <row r="34" spans="1:17" x14ac:dyDescent="0.25">
      <c r="A34" s="1">
        <v>136</v>
      </c>
      <c r="B34" s="1">
        <v>114.4988</v>
      </c>
      <c r="C34" s="16">
        <f t="shared" si="4"/>
        <v>0</v>
      </c>
      <c r="D34" s="2">
        <f t="shared" si="12"/>
        <v>0</v>
      </c>
      <c r="E34" s="2">
        <f t="shared" si="5"/>
        <v>114.4988</v>
      </c>
      <c r="F34" s="2">
        <f t="shared" si="1"/>
        <v>-21.501199999999997</v>
      </c>
      <c r="G34" s="2">
        <f t="shared" si="6"/>
        <v>60.727800000000002</v>
      </c>
      <c r="H34" s="25">
        <f>SUM($A$5:A34)</f>
        <v>4080</v>
      </c>
      <c r="I34" s="25">
        <f>SUM($B$5:B34)</f>
        <v>3669.6614700000005</v>
      </c>
      <c r="J34" s="25">
        <f t="shared" si="7"/>
        <v>-410.33852999999954</v>
      </c>
      <c r="K34" s="22">
        <f t="shared" si="8"/>
        <v>410.33852999999954</v>
      </c>
      <c r="L34" s="2">
        <f t="shared" si="9"/>
        <v>4080</v>
      </c>
      <c r="M34" s="2">
        <f t="shared" si="10"/>
        <v>0</v>
      </c>
      <c r="N34" s="19">
        <f t="shared" si="13"/>
        <v>4080</v>
      </c>
      <c r="O34" s="19">
        <f t="shared" si="14"/>
        <v>410.33852999999954</v>
      </c>
      <c r="P34" s="25">
        <f>-MIN($J$5:J34,0)</f>
        <v>410.33852999999954</v>
      </c>
      <c r="Q34" s="23">
        <f t="shared" si="11"/>
        <v>0</v>
      </c>
    </row>
  </sheetData>
  <conditionalFormatting sqref="F1:F1048576">
    <cfRule type="cellIs" dxfId="6" priority="2" operator="lessThan">
      <formula>0</formula>
    </cfRule>
  </conditionalFormatting>
  <conditionalFormatting sqref="J1:J1048576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8942-81D0-43FD-8F8E-BE72DAC4F1D0}">
  <dimension ref="A1:P34"/>
  <sheetViews>
    <sheetView workbookViewId="0">
      <selection activeCell="N7" sqref="N7"/>
    </sheetView>
  </sheetViews>
  <sheetFormatPr defaultRowHeight="15" x14ac:dyDescent="0.25"/>
  <cols>
    <col min="1" max="1" width="10.28515625" bestFit="1" customWidth="1"/>
    <col min="2" max="3" width="9.5703125" bestFit="1" customWidth="1"/>
    <col min="4" max="4" width="9.5703125" hidden="1" customWidth="1"/>
    <col min="5" max="5" width="10.28515625" hidden="1" customWidth="1"/>
    <col min="6" max="6" width="9.5703125" hidden="1" customWidth="1"/>
    <col min="7" max="7" width="10.28515625" hidden="1" customWidth="1"/>
    <col min="8" max="8" width="9.5703125" hidden="1" customWidth="1"/>
    <col min="9" max="9" width="15.140625" hidden="1" customWidth="1"/>
    <col min="10" max="10" width="26.5703125" hidden="1" customWidth="1"/>
    <col min="11" max="11" width="9.5703125" hidden="1" customWidth="1"/>
    <col min="12" max="12" width="0" hidden="1" customWidth="1"/>
    <col min="13" max="13" width="13.140625" bestFit="1" customWidth="1"/>
    <col min="14" max="14" width="9.5703125" bestFit="1" customWidth="1"/>
    <col min="15" max="15" width="9.5703125" customWidth="1"/>
  </cols>
  <sheetData>
    <row r="1" spans="1:16" x14ac:dyDescent="0.25">
      <c r="A1" t="s">
        <v>3</v>
      </c>
      <c r="B1" t="s">
        <v>4</v>
      </c>
      <c r="C1" t="s">
        <v>5</v>
      </c>
    </row>
    <row r="2" spans="1:16" x14ac:dyDescent="0.25">
      <c r="A2" t="s">
        <v>2</v>
      </c>
      <c r="B2" t="s">
        <v>0</v>
      </c>
      <c r="C2" t="s">
        <v>1</v>
      </c>
    </row>
    <row r="3" spans="1:16" x14ac:dyDescent="0.25">
      <c r="A3" t="s">
        <v>9</v>
      </c>
      <c r="D3" s="3" t="s">
        <v>6</v>
      </c>
      <c r="E3" s="3" t="s">
        <v>7</v>
      </c>
      <c r="F3" s="3" t="s">
        <v>8</v>
      </c>
      <c r="G3" s="3" t="s">
        <v>7</v>
      </c>
    </row>
    <row r="4" spans="1:16" x14ac:dyDescent="0.25">
      <c r="A4" s="1">
        <v>0</v>
      </c>
      <c r="B4" s="1">
        <v>0</v>
      </c>
      <c r="C4" s="4">
        <f t="shared" ref="C4:C34" si="0">IF((B4+C3)&gt;A4,(B4+C3)-A4,0)</f>
        <v>0</v>
      </c>
      <c r="D4" s="2">
        <f>B4+C3</f>
        <v>0</v>
      </c>
      <c r="E4" s="2">
        <f>A4</f>
        <v>0</v>
      </c>
      <c r="F4" s="2">
        <f>(B4+C3)</f>
        <v>0</v>
      </c>
      <c r="G4" s="2">
        <f>A4</f>
        <v>0</v>
      </c>
      <c r="H4" s="2">
        <f>F4-G4</f>
        <v>0</v>
      </c>
      <c r="K4" s="2">
        <f>C4</f>
        <v>0</v>
      </c>
      <c r="L4" t="b">
        <f>K4=C4</f>
        <v>1</v>
      </c>
      <c r="M4" s="2">
        <f>B4-A4</f>
        <v>0</v>
      </c>
      <c r="N4" s="2">
        <f>SUM($M$4:M4)</f>
        <v>0</v>
      </c>
      <c r="O4" s="2">
        <f>SUM($M$4:M4)</f>
        <v>0</v>
      </c>
      <c r="P4" t="b">
        <f>N4=C4</f>
        <v>1</v>
      </c>
    </row>
    <row r="5" spans="1:16" x14ac:dyDescent="0.25">
      <c r="A5" s="1">
        <v>136</v>
      </c>
      <c r="B5" s="1">
        <v>139.30779999999999</v>
      </c>
      <c r="C5" s="4">
        <f t="shared" si="0"/>
        <v>3.3077999999999861</v>
      </c>
      <c r="D5" s="2">
        <f t="shared" ref="D5:D34" si="1">B5+C4</f>
        <v>139.30779999999999</v>
      </c>
      <c r="E5" s="2">
        <f t="shared" ref="E5:E34" si="2">A5</f>
        <v>136</v>
      </c>
      <c r="F5" s="2">
        <f t="shared" ref="F5:F34" si="3">(B5+C4)</f>
        <v>139.30779999999999</v>
      </c>
      <c r="G5" s="2">
        <f t="shared" ref="G5:G34" si="4">A5</f>
        <v>136</v>
      </c>
      <c r="H5" s="2">
        <f t="shared" ref="H5:H34" si="5">F5-G5</f>
        <v>3.3077999999999861</v>
      </c>
      <c r="I5" s="6">
        <f>H5-H4</f>
        <v>3.3077999999999861</v>
      </c>
      <c r="J5" s="7">
        <f>I5-M5</f>
        <v>0</v>
      </c>
      <c r="K5" s="2">
        <f>K4+I5</f>
        <v>3.3077999999999861</v>
      </c>
      <c r="L5" t="b">
        <f t="shared" ref="L5:L34" si="6">K5=C5</f>
        <v>1</v>
      </c>
      <c r="M5" s="5">
        <f t="shared" ref="M5:M34" si="7">B5-A5</f>
        <v>3.3077999999999861</v>
      </c>
      <c r="N5" s="2">
        <f>IF(SUM($M$4:M5)&lt;0,0,SUM($M$4:M5))</f>
        <v>3.3077999999999861</v>
      </c>
      <c r="O5" s="2">
        <f>SUM($M$4:M5)</f>
        <v>3.3077999999999861</v>
      </c>
      <c r="P5" t="b">
        <f t="shared" ref="P5:P34" si="8">N5=C5</f>
        <v>1</v>
      </c>
    </row>
    <row r="6" spans="1:16" x14ac:dyDescent="0.25">
      <c r="A6" s="1">
        <v>136</v>
      </c>
      <c r="B6" s="1">
        <v>168.965</v>
      </c>
      <c r="C6" s="4">
        <f t="shared" si="0"/>
        <v>36.272799999999989</v>
      </c>
      <c r="D6" s="2">
        <f t="shared" si="1"/>
        <v>172.27279999999999</v>
      </c>
      <c r="E6" s="2">
        <f t="shared" si="2"/>
        <v>136</v>
      </c>
      <c r="F6" s="2">
        <f t="shared" si="3"/>
        <v>172.27279999999999</v>
      </c>
      <c r="G6" s="2">
        <f t="shared" si="4"/>
        <v>136</v>
      </c>
      <c r="H6" s="2">
        <f t="shared" si="5"/>
        <v>36.272799999999989</v>
      </c>
      <c r="I6" s="2">
        <f t="shared" ref="I6:I34" si="9">H6-H5</f>
        <v>32.965000000000003</v>
      </c>
      <c r="J6" s="7">
        <f t="shared" ref="J6:J34" si="10">I6-M6</f>
        <v>0</v>
      </c>
      <c r="K6" s="2">
        <f t="shared" ref="K6:K34" si="11">K5+I6</f>
        <v>36.272799999999989</v>
      </c>
      <c r="L6" t="b">
        <f t="shared" si="6"/>
        <v>1</v>
      </c>
      <c r="M6" s="2">
        <f t="shared" si="7"/>
        <v>32.965000000000003</v>
      </c>
      <c r="N6" s="2">
        <f>IF(SUM($M$4:M6)&lt;0,0,SUM($M$4:M6))</f>
        <v>36.272799999999989</v>
      </c>
      <c r="O6" s="2">
        <f>SUM($M$4:M6)</f>
        <v>36.272799999999989</v>
      </c>
      <c r="P6" t="b">
        <f t="shared" si="8"/>
        <v>1</v>
      </c>
    </row>
    <row r="7" spans="1:16" x14ac:dyDescent="0.25">
      <c r="A7" s="1">
        <v>136</v>
      </c>
      <c r="B7" s="1">
        <v>104.5967</v>
      </c>
      <c r="C7" s="4">
        <f t="shared" si="0"/>
        <v>4.8694999999999879</v>
      </c>
      <c r="D7" s="2">
        <f t="shared" si="1"/>
        <v>140.86949999999999</v>
      </c>
      <c r="E7" s="2">
        <f t="shared" si="2"/>
        <v>136</v>
      </c>
      <c r="F7" s="2">
        <f t="shared" si="3"/>
        <v>140.86949999999999</v>
      </c>
      <c r="G7" s="2">
        <f t="shared" si="4"/>
        <v>136</v>
      </c>
      <c r="H7" s="2">
        <f t="shared" si="5"/>
        <v>4.8694999999999879</v>
      </c>
      <c r="I7" s="2">
        <f t="shared" si="9"/>
        <v>-31.403300000000002</v>
      </c>
      <c r="J7" s="7">
        <f t="shared" si="10"/>
        <v>0</v>
      </c>
      <c r="K7" s="2">
        <f t="shared" si="11"/>
        <v>4.8694999999999879</v>
      </c>
      <c r="L7" t="b">
        <f t="shared" si="6"/>
        <v>1</v>
      </c>
      <c r="M7" s="2">
        <f t="shared" si="7"/>
        <v>-31.403300000000002</v>
      </c>
      <c r="N7" s="2">
        <f>IF(SUM($M$4:M7)&lt;0,0,SUM($M$4:M7))</f>
        <v>4.8694999999999879</v>
      </c>
      <c r="O7" s="2">
        <f>SUM($M$4:M7)</f>
        <v>4.8694999999999879</v>
      </c>
      <c r="P7" t="b">
        <f t="shared" si="8"/>
        <v>1</v>
      </c>
    </row>
    <row r="8" spans="1:16" x14ac:dyDescent="0.25">
      <c r="A8" s="1">
        <v>136</v>
      </c>
      <c r="B8" s="1">
        <v>198.73330000000001</v>
      </c>
      <c r="C8" s="4">
        <f t="shared" si="0"/>
        <v>67.602800000000002</v>
      </c>
      <c r="D8" s="2">
        <f t="shared" si="1"/>
        <v>203.6028</v>
      </c>
      <c r="E8" s="2">
        <f t="shared" si="2"/>
        <v>136</v>
      </c>
      <c r="F8" s="2">
        <f t="shared" si="3"/>
        <v>203.6028</v>
      </c>
      <c r="G8" s="2">
        <f t="shared" si="4"/>
        <v>136</v>
      </c>
      <c r="H8" s="2">
        <f t="shared" si="5"/>
        <v>67.602800000000002</v>
      </c>
      <c r="I8" s="2">
        <f t="shared" si="9"/>
        <v>62.733300000000014</v>
      </c>
      <c r="J8" s="7">
        <f t="shared" si="10"/>
        <v>0</v>
      </c>
      <c r="K8" s="2">
        <f t="shared" si="11"/>
        <v>67.602800000000002</v>
      </c>
      <c r="L8" t="b">
        <f t="shared" si="6"/>
        <v>1</v>
      </c>
      <c r="M8" s="2">
        <f t="shared" si="7"/>
        <v>62.733300000000014</v>
      </c>
      <c r="N8" s="2">
        <f>IF(SUM($M$4:M8)&lt;0,0,SUM($M$4:M8))</f>
        <v>67.602800000000002</v>
      </c>
      <c r="O8" s="2">
        <f>SUM($M$4:M8)</f>
        <v>67.602800000000002</v>
      </c>
      <c r="P8" t="b">
        <f t="shared" si="8"/>
        <v>1</v>
      </c>
    </row>
    <row r="9" spans="1:16" s="10" customFormat="1" x14ac:dyDescent="0.25">
      <c r="A9" s="4">
        <v>136</v>
      </c>
      <c r="B9" s="15">
        <v>20</v>
      </c>
      <c r="C9" s="4">
        <f t="shared" si="0"/>
        <v>0</v>
      </c>
      <c r="D9" s="8">
        <f t="shared" si="1"/>
        <v>87.602800000000002</v>
      </c>
      <c r="E9" s="8">
        <f t="shared" si="2"/>
        <v>136</v>
      </c>
      <c r="F9" s="8">
        <f t="shared" si="3"/>
        <v>87.602800000000002</v>
      </c>
      <c r="G9" s="8">
        <f t="shared" si="4"/>
        <v>136</v>
      </c>
      <c r="H9" s="8">
        <f t="shared" si="5"/>
        <v>-48.397199999999998</v>
      </c>
      <c r="I9" s="8">
        <f t="shared" si="9"/>
        <v>-116</v>
      </c>
      <c r="J9" s="9">
        <f t="shared" si="10"/>
        <v>0</v>
      </c>
      <c r="K9" s="8">
        <f t="shared" si="11"/>
        <v>-48.397199999999998</v>
      </c>
      <c r="L9" s="10" t="b">
        <f t="shared" si="6"/>
        <v>0</v>
      </c>
      <c r="M9" s="8">
        <f t="shared" si="7"/>
        <v>-116</v>
      </c>
      <c r="N9" s="8">
        <f>IF(SUM($M$4:M9)&lt;0,0,SUM($M$4:M9))</f>
        <v>0</v>
      </c>
      <c r="O9" s="2">
        <f>SUM($M$4:M9)</f>
        <v>-48.397199999999998</v>
      </c>
      <c r="P9" s="10" t="b">
        <f t="shared" si="8"/>
        <v>1</v>
      </c>
    </row>
    <row r="10" spans="1:16" s="10" customFormat="1" x14ac:dyDescent="0.25">
      <c r="A10" s="4">
        <v>136</v>
      </c>
      <c r="B10" s="4">
        <v>113.4503</v>
      </c>
      <c r="C10" s="4">
        <f t="shared" si="0"/>
        <v>0</v>
      </c>
      <c r="D10" s="8">
        <v>100</v>
      </c>
      <c r="E10" s="8">
        <f t="shared" si="2"/>
        <v>136</v>
      </c>
      <c r="F10" s="8">
        <v>0</v>
      </c>
      <c r="G10" s="8">
        <f t="shared" si="4"/>
        <v>136</v>
      </c>
      <c r="H10" s="8">
        <v>0</v>
      </c>
      <c r="I10" s="8">
        <f t="shared" si="9"/>
        <v>48.397199999999998</v>
      </c>
      <c r="J10" s="9">
        <f t="shared" si="10"/>
        <v>70.946899999999999</v>
      </c>
      <c r="K10" s="8">
        <f t="shared" si="11"/>
        <v>0</v>
      </c>
      <c r="L10" s="10" t="b">
        <f t="shared" si="6"/>
        <v>1</v>
      </c>
      <c r="M10" s="8">
        <f t="shared" si="7"/>
        <v>-22.549700000000001</v>
      </c>
      <c r="N10" s="8">
        <f>IF(SUM($M$4:M10)&lt;0,0,SUM($M$4:M10))</f>
        <v>0</v>
      </c>
      <c r="O10" s="2">
        <f>SUM($M$4:M10)</f>
        <v>-70.946899999999999</v>
      </c>
      <c r="P10" s="10" t="b">
        <f t="shared" si="8"/>
        <v>1</v>
      </c>
    </row>
    <row r="11" spans="1:16" s="14" customFormat="1" x14ac:dyDescent="0.25">
      <c r="A11" s="11">
        <v>136</v>
      </c>
      <c r="B11" s="11">
        <v>125.1622</v>
      </c>
      <c r="C11" s="11">
        <f t="shared" si="0"/>
        <v>0</v>
      </c>
      <c r="D11" s="12">
        <f t="shared" si="1"/>
        <v>125.1622</v>
      </c>
      <c r="E11" s="12">
        <f t="shared" si="2"/>
        <v>136</v>
      </c>
      <c r="F11" s="12">
        <f t="shared" si="3"/>
        <v>125.1622</v>
      </c>
      <c r="G11" s="12">
        <f t="shared" si="4"/>
        <v>136</v>
      </c>
      <c r="H11" s="12">
        <f t="shared" si="5"/>
        <v>-10.837800000000001</v>
      </c>
      <c r="I11" s="12">
        <f t="shared" si="9"/>
        <v>-10.837800000000001</v>
      </c>
      <c r="J11" s="13">
        <f t="shared" si="10"/>
        <v>0</v>
      </c>
      <c r="K11" s="12">
        <f t="shared" si="11"/>
        <v>-10.837800000000001</v>
      </c>
      <c r="L11" s="14" t="b">
        <f t="shared" si="6"/>
        <v>0</v>
      </c>
      <c r="M11" s="12">
        <f t="shared" si="7"/>
        <v>-10.837800000000001</v>
      </c>
      <c r="N11" s="12">
        <f>IF(SUM($M$4:M11)&lt;0,0,SUM($M$4:M11))</f>
        <v>0</v>
      </c>
      <c r="O11" s="2">
        <f>SUM($M$4:M11)</f>
        <v>-81.784700000000001</v>
      </c>
      <c r="P11" s="14" t="b">
        <f t="shared" si="8"/>
        <v>1</v>
      </c>
    </row>
    <row r="12" spans="1:16" x14ac:dyDescent="0.25">
      <c r="A12" s="1">
        <v>136</v>
      </c>
      <c r="B12" s="1">
        <v>168.5085</v>
      </c>
      <c r="C12" s="4">
        <f t="shared" si="0"/>
        <v>32.508499999999998</v>
      </c>
      <c r="D12" s="2">
        <f t="shared" si="1"/>
        <v>168.5085</v>
      </c>
      <c r="E12" s="2">
        <f t="shared" si="2"/>
        <v>136</v>
      </c>
      <c r="F12" s="2">
        <f t="shared" si="3"/>
        <v>168.5085</v>
      </c>
      <c r="G12" s="2">
        <f t="shared" si="4"/>
        <v>136</v>
      </c>
      <c r="H12" s="2">
        <f t="shared" si="5"/>
        <v>32.508499999999998</v>
      </c>
      <c r="I12" s="2">
        <f t="shared" si="9"/>
        <v>43.346299999999999</v>
      </c>
      <c r="J12" s="7">
        <f t="shared" si="10"/>
        <v>10.837800000000001</v>
      </c>
      <c r="K12" s="2">
        <f t="shared" si="11"/>
        <v>32.508499999999998</v>
      </c>
      <c r="L12" t="b">
        <f t="shared" si="6"/>
        <v>1</v>
      </c>
      <c r="M12" s="2">
        <f t="shared" si="7"/>
        <v>32.508499999999998</v>
      </c>
      <c r="N12" s="2">
        <f>IF(SUM($M$4:M12)&lt;0,0,SUM($M$4:M12))</f>
        <v>0</v>
      </c>
      <c r="O12" s="2">
        <f>SUM($M$4:M12)</f>
        <v>-49.276200000000003</v>
      </c>
      <c r="P12" t="b">
        <f t="shared" si="8"/>
        <v>0</v>
      </c>
    </row>
    <row r="13" spans="1:16" x14ac:dyDescent="0.25">
      <c r="A13" s="1">
        <v>136</v>
      </c>
      <c r="B13" s="1">
        <v>232.7765</v>
      </c>
      <c r="C13" s="4">
        <f t="shared" si="0"/>
        <v>129.28499999999997</v>
      </c>
      <c r="D13" s="2">
        <f t="shared" si="1"/>
        <v>265.28499999999997</v>
      </c>
      <c r="E13" s="2">
        <f t="shared" si="2"/>
        <v>136</v>
      </c>
      <c r="F13" s="2">
        <f t="shared" si="3"/>
        <v>265.28499999999997</v>
      </c>
      <c r="G13" s="2">
        <f t="shared" si="4"/>
        <v>136</v>
      </c>
      <c r="H13" s="2">
        <f t="shared" si="5"/>
        <v>129.28499999999997</v>
      </c>
      <c r="I13" s="2">
        <f t="shared" si="9"/>
        <v>96.77649999999997</v>
      </c>
      <c r="J13" s="7">
        <f t="shared" si="10"/>
        <v>0</v>
      </c>
      <c r="K13" s="2">
        <f t="shared" si="11"/>
        <v>129.28499999999997</v>
      </c>
      <c r="L13" t="b">
        <f t="shared" si="6"/>
        <v>1</v>
      </c>
      <c r="M13" s="2">
        <f t="shared" si="7"/>
        <v>96.776499999999999</v>
      </c>
      <c r="N13" s="2">
        <f>IF(SUM($M$4:M13)&lt;0,0,SUM($M$4:M13))</f>
        <v>47.500299999999996</v>
      </c>
      <c r="O13" s="2">
        <f>SUM($M$4:M13)</f>
        <v>47.500299999999996</v>
      </c>
      <c r="P13" t="b">
        <f t="shared" si="8"/>
        <v>0</v>
      </c>
    </row>
    <row r="14" spans="1:16" x14ac:dyDescent="0.25">
      <c r="A14" s="1">
        <v>136</v>
      </c>
      <c r="B14" s="1">
        <v>113.7482</v>
      </c>
      <c r="C14" s="4">
        <f t="shared" si="0"/>
        <v>107.03319999999997</v>
      </c>
      <c r="D14" s="2">
        <f t="shared" si="1"/>
        <v>243.03319999999997</v>
      </c>
      <c r="E14" s="2">
        <f t="shared" si="2"/>
        <v>136</v>
      </c>
      <c r="F14" s="2">
        <f t="shared" si="3"/>
        <v>243.03319999999997</v>
      </c>
      <c r="G14" s="2">
        <f t="shared" si="4"/>
        <v>136</v>
      </c>
      <c r="H14" s="2">
        <f t="shared" si="5"/>
        <v>107.03319999999997</v>
      </c>
      <c r="I14" s="2">
        <f t="shared" si="9"/>
        <v>-22.251800000000003</v>
      </c>
      <c r="J14" s="7">
        <f t="shared" si="10"/>
        <v>0</v>
      </c>
      <c r="K14" s="2">
        <f t="shared" si="11"/>
        <v>107.03319999999997</v>
      </c>
      <c r="L14" t="b">
        <f t="shared" si="6"/>
        <v>1</v>
      </c>
      <c r="M14" s="2">
        <f t="shared" si="7"/>
        <v>-22.251800000000003</v>
      </c>
      <c r="N14" s="2">
        <f>IF(SUM($M$4:M14)&lt;0,0,SUM($M$4:M14))</f>
        <v>25.248499999999993</v>
      </c>
      <c r="O14" s="2">
        <f>SUM($M$4:M14)</f>
        <v>25.248499999999993</v>
      </c>
      <c r="P14" t="b">
        <f t="shared" si="8"/>
        <v>0</v>
      </c>
    </row>
    <row r="15" spans="1:16" x14ac:dyDescent="0.25">
      <c r="A15" s="1">
        <v>136</v>
      </c>
      <c r="B15" s="1">
        <v>84.603499999999997</v>
      </c>
      <c r="C15" s="4">
        <f t="shared" si="0"/>
        <v>55.636699999999962</v>
      </c>
      <c r="D15" s="2">
        <f t="shared" si="1"/>
        <v>191.63669999999996</v>
      </c>
      <c r="E15" s="2">
        <f t="shared" si="2"/>
        <v>136</v>
      </c>
      <c r="F15" s="2">
        <f t="shared" si="3"/>
        <v>191.63669999999996</v>
      </c>
      <c r="G15" s="2">
        <f t="shared" si="4"/>
        <v>136</v>
      </c>
      <c r="H15" s="2">
        <f t="shared" si="5"/>
        <v>55.636699999999962</v>
      </c>
      <c r="I15" s="2">
        <f t="shared" si="9"/>
        <v>-51.396500000000003</v>
      </c>
      <c r="J15" s="7">
        <f t="shared" si="10"/>
        <v>0</v>
      </c>
      <c r="K15" s="2">
        <f t="shared" si="11"/>
        <v>55.636699999999962</v>
      </c>
      <c r="L15" t="b">
        <f t="shared" si="6"/>
        <v>1</v>
      </c>
      <c r="M15" s="2">
        <f t="shared" si="7"/>
        <v>-51.396500000000003</v>
      </c>
      <c r="N15" s="2">
        <f>IF(SUM($M$4:M15)&lt;0,0,SUM($M$4:M15))</f>
        <v>0</v>
      </c>
      <c r="O15" s="2">
        <f>SUM($M$4:M15)</f>
        <v>-26.14800000000001</v>
      </c>
      <c r="P15" t="b">
        <f t="shared" si="8"/>
        <v>0</v>
      </c>
    </row>
    <row r="16" spans="1:16" x14ac:dyDescent="0.25">
      <c r="A16" s="1">
        <v>136</v>
      </c>
      <c r="B16" s="1">
        <v>240.1747</v>
      </c>
      <c r="C16" s="4">
        <f t="shared" si="0"/>
        <v>159.81139999999994</v>
      </c>
      <c r="D16" s="2">
        <f t="shared" si="1"/>
        <v>295.81139999999994</v>
      </c>
      <c r="E16" s="2">
        <f t="shared" si="2"/>
        <v>136</v>
      </c>
      <c r="F16" s="2">
        <f t="shared" si="3"/>
        <v>295.81139999999994</v>
      </c>
      <c r="G16" s="2">
        <f t="shared" si="4"/>
        <v>136</v>
      </c>
      <c r="H16" s="2">
        <f t="shared" si="5"/>
        <v>159.81139999999994</v>
      </c>
      <c r="I16" s="2">
        <f t="shared" si="9"/>
        <v>104.17469999999997</v>
      </c>
      <c r="J16" s="7">
        <f t="shared" si="10"/>
        <v>0</v>
      </c>
      <c r="K16" s="2">
        <f t="shared" si="11"/>
        <v>159.81139999999994</v>
      </c>
      <c r="L16" t="b">
        <f t="shared" si="6"/>
        <v>1</v>
      </c>
      <c r="M16" s="2">
        <f t="shared" si="7"/>
        <v>104.1747</v>
      </c>
      <c r="N16" s="2">
        <f>IF(SUM($M$4:M16)&lt;0,0,SUM($M$4:M16))</f>
        <v>78.026699999999991</v>
      </c>
      <c r="O16" s="2">
        <f>SUM($M$4:M16)</f>
        <v>78.026699999999991</v>
      </c>
      <c r="P16" t="b">
        <f t="shared" si="8"/>
        <v>0</v>
      </c>
    </row>
    <row r="17" spans="1:16" x14ac:dyDescent="0.25">
      <c r="A17" s="1">
        <v>136</v>
      </c>
      <c r="B17" s="1">
        <v>118.7595</v>
      </c>
      <c r="C17" s="4">
        <f t="shared" si="0"/>
        <v>142.57089999999994</v>
      </c>
      <c r="D17" s="2">
        <f t="shared" si="1"/>
        <v>278.57089999999994</v>
      </c>
      <c r="E17" s="2">
        <f t="shared" si="2"/>
        <v>136</v>
      </c>
      <c r="F17" s="2">
        <f t="shared" si="3"/>
        <v>278.57089999999994</v>
      </c>
      <c r="G17" s="2">
        <f t="shared" si="4"/>
        <v>136</v>
      </c>
      <c r="H17" s="2">
        <f t="shared" si="5"/>
        <v>142.57089999999994</v>
      </c>
      <c r="I17" s="2">
        <f t="shared" si="9"/>
        <v>-17.240499999999997</v>
      </c>
      <c r="J17" s="7">
        <f t="shared" si="10"/>
        <v>0</v>
      </c>
      <c r="K17" s="2">
        <f t="shared" si="11"/>
        <v>142.57089999999994</v>
      </c>
      <c r="L17" t="b">
        <f t="shared" si="6"/>
        <v>1</v>
      </c>
      <c r="M17" s="2">
        <f t="shared" si="7"/>
        <v>-17.240499999999997</v>
      </c>
      <c r="N17" s="2">
        <f>IF(SUM($M$4:M17)&lt;0,0,SUM($M$4:M17))</f>
        <v>60.786199999999994</v>
      </c>
      <c r="O17" s="2">
        <f>SUM($M$4:M17)</f>
        <v>60.786199999999994</v>
      </c>
      <c r="P17" t="b">
        <f t="shared" si="8"/>
        <v>0</v>
      </c>
    </row>
    <row r="18" spans="1:16" x14ac:dyDescent="0.25">
      <c r="A18" s="1">
        <v>136</v>
      </c>
      <c r="B18" s="1">
        <v>125.95399999999999</v>
      </c>
      <c r="C18" s="4">
        <f t="shared" si="0"/>
        <v>132.52489999999995</v>
      </c>
      <c r="D18" s="2">
        <f t="shared" si="1"/>
        <v>268.52489999999995</v>
      </c>
      <c r="E18" s="2">
        <f t="shared" si="2"/>
        <v>136</v>
      </c>
      <c r="F18" s="2">
        <f t="shared" si="3"/>
        <v>268.52489999999995</v>
      </c>
      <c r="G18" s="2">
        <f t="shared" si="4"/>
        <v>136</v>
      </c>
      <c r="H18" s="2">
        <f t="shared" si="5"/>
        <v>132.52489999999995</v>
      </c>
      <c r="I18" s="2">
        <f t="shared" si="9"/>
        <v>-10.045999999999992</v>
      </c>
      <c r="J18" s="7">
        <f t="shared" si="10"/>
        <v>1.4210854715202004E-14</v>
      </c>
      <c r="K18" s="2">
        <f t="shared" si="11"/>
        <v>132.52489999999995</v>
      </c>
      <c r="L18" t="b">
        <f t="shared" si="6"/>
        <v>1</v>
      </c>
      <c r="M18" s="2">
        <f t="shared" si="7"/>
        <v>-10.046000000000006</v>
      </c>
      <c r="N18" s="2">
        <f>IF(SUM($M$4:M18)&lt;0,0,SUM($M$4:M18))</f>
        <v>50.740199999999987</v>
      </c>
      <c r="O18" s="2">
        <f>SUM($M$4:M18)</f>
        <v>50.740199999999987</v>
      </c>
      <c r="P18" t="b">
        <f t="shared" si="8"/>
        <v>0</v>
      </c>
    </row>
    <row r="19" spans="1:16" x14ac:dyDescent="0.25">
      <c r="A19" s="1">
        <v>136</v>
      </c>
      <c r="B19" s="1">
        <v>58.101170000000003</v>
      </c>
      <c r="C19" s="4">
        <f t="shared" si="0"/>
        <v>54.626069999999942</v>
      </c>
      <c r="D19" s="2">
        <f t="shared" si="1"/>
        <v>190.62606999999994</v>
      </c>
      <c r="E19" s="2">
        <f t="shared" si="2"/>
        <v>136</v>
      </c>
      <c r="F19" s="2">
        <f t="shared" si="3"/>
        <v>190.62606999999994</v>
      </c>
      <c r="G19" s="2">
        <f t="shared" si="4"/>
        <v>136</v>
      </c>
      <c r="H19" s="2">
        <f t="shared" si="5"/>
        <v>54.626069999999942</v>
      </c>
      <c r="I19" s="2">
        <f t="shared" si="9"/>
        <v>-77.898830000000004</v>
      </c>
      <c r="J19" s="7">
        <f t="shared" si="10"/>
        <v>0</v>
      </c>
      <c r="K19" s="2">
        <f t="shared" si="11"/>
        <v>54.626069999999942</v>
      </c>
      <c r="L19" t="b">
        <f t="shared" si="6"/>
        <v>1</v>
      </c>
      <c r="M19" s="2">
        <f t="shared" si="7"/>
        <v>-77.898830000000004</v>
      </c>
      <c r="N19" s="2">
        <f>IF(SUM($M$4:M19)&lt;0,0,SUM($M$4:M19))</f>
        <v>0</v>
      </c>
      <c r="O19" s="2">
        <f>SUM($M$4:M19)</f>
        <v>-27.158630000000016</v>
      </c>
      <c r="P19" t="b">
        <f t="shared" si="8"/>
        <v>0</v>
      </c>
    </row>
    <row r="20" spans="1:16" x14ac:dyDescent="0.25">
      <c r="A20" s="1">
        <v>136</v>
      </c>
      <c r="B20" s="1">
        <v>94.614000000000004</v>
      </c>
      <c r="C20" s="4">
        <f t="shared" si="0"/>
        <v>13.240069999999946</v>
      </c>
      <c r="D20" s="2">
        <f t="shared" si="1"/>
        <v>149.24006999999995</v>
      </c>
      <c r="E20" s="2">
        <f t="shared" si="2"/>
        <v>136</v>
      </c>
      <c r="F20" s="2">
        <f t="shared" si="3"/>
        <v>149.24006999999995</v>
      </c>
      <c r="G20" s="2">
        <f t="shared" si="4"/>
        <v>136</v>
      </c>
      <c r="H20" s="2">
        <f t="shared" si="5"/>
        <v>13.240069999999946</v>
      </c>
      <c r="I20" s="2">
        <f t="shared" si="9"/>
        <v>-41.385999999999996</v>
      </c>
      <c r="J20" s="7">
        <f t="shared" si="10"/>
        <v>0</v>
      </c>
      <c r="K20" s="2">
        <f t="shared" si="11"/>
        <v>13.240069999999946</v>
      </c>
      <c r="L20" t="b">
        <f t="shared" si="6"/>
        <v>1</v>
      </c>
      <c r="M20" s="2">
        <f t="shared" si="7"/>
        <v>-41.385999999999996</v>
      </c>
      <c r="N20" s="2">
        <f>IF(SUM($M$4:M20)&lt;0,0,SUM($M$4:M20))</f>
        <v>0</v>
      </c>
      <c r="O20" s="2">
        <f>SUM($M$4:M20)</f>
        <v>-68.544630000000012</v>
      </c>
      <c r="P20" t="b">
        <f t="shared" si="8"/>
        <v>0</v>
      </c>
    </row>
    <row r="21" spans="1:16" x14ac:dyDescent="0.25">
      <c r="A21" s="1">
        <v>136</v>
      </c>
      <c r="B21" s="15">
        <v>100</v>
      </c>
      <c r="C21" s="4">
        <f t="shared" si="0"/>
        <v>0</v>
      </c>
      <c r="D21" s="2">
        <f t="shared" si="1"/>
        <v>113.24006999999995</v>
      </c>
      <c r="E21" s="2">
        <f t="shared" si="2"/>
        <v>136</v>
      </c>
      <c r="F21" s="2">
        <f t="shared" si="3"/>
        <v>113.24006999999995</v>
      </c>
      <c r="G21" s="2">
        <f t="shared" si="4"/>
        <v>136</v>
      </c>
      <c r="H21" s="2">
        <f t="shared" si="5"/>
        <v>-22.759930000000054</v>
      </c>
      <c r="I21" s="2">
        <f t="shared" si="9"/>
        <v>-36</v>
      </c>
      <c r="J21" s="7">
        <f t="shared" si="10"/>
        <v>0</v>
      </c>
      <c r="K21" s="2">
        <f t="shared" si="11"/>
        <v>-22.759930000000054</v>
      </c>
      <c r="L21" t="b">
        <f t="shared" si="6"/>
        <v>0</v>
      </c>
      <c r="M21" s="2">
        <f t="shared" si="7"/>
        <v>-36</v>
      </c>
      <c r="N21" s="2">
        <f>IF(SUM($M$4:M21)&lt;0,0,SUM($M$4:M21))</f>
        <v>0</v>
      </c>
      <c r="O21" s="2">
        <f>SUM($M$4:M21)</f>
        <v>-104.54463000000001</v>
      </c>
      <c r="P21" t="b">
        <f t="shared" si="8"/>
        <v>1</v>
      </c>
    </row>
    <row r="22" spans="1:16" x14ac:dyDescent="0.25">
      <c r="A22" s="1">
        <v>136</v>
      </c>
      <c r="B22" s="1">
        <v>246.238</v>
      </c>
      <c r="C22" s="4">
        <f t="shared" si="0"/>
        <v>110.238</v>
      </c>
      <c r="D22" s="2">
        <f t="shared" si="1"/>
        <v>246.238</v>
      </c>
      <c r="E22" s="2">
        <f t="shared" si="2"/>
        <v>136</v>
      </c>
      <c r="F22" s="2">
        <f t="shared" si="3"/>
        <v>246.238</v>
      </c>
      <c r="G22" s="2">
        <f t="shared" si="4"/>
        <v>136</v>
      </c>
      <c r="H22" s="2">
        <f t="shared" si="5"/>
        <v>110.238</v>
      </c>
      <c r="I22" s="2">
        <f t="shared" si="9"/>
        <v>132.99793000000005</v>
      </c>
      <c r="J22" s="7">
        <f t="shared" si="10"/>
        <v>22.759930000000054</v>
      </c>
      <c r="K22" s="2">
        <f t="shared" si="11"/>
        <v>110.238</v>
      </c>
      <c r="L22" t="b">
        <f t="shared" si="6"/>
        <v>1</v>
      </c>
      <c r="M22" s="2">
        <f t="shared" si="7"/>
        <v>110.238</v>
      </c>
      <c r="N22" s="2">
        <f>IF(SUM($M$4:M22)&lt;0,0,SUM($M$4:M22))</f>
        <v>5.6933699999999874</v>
      </c>
      <c r="O22" s="2">
        <f>SUM($M$4:M22)</f>
        <v>5.6933699999999874</v>
      </c>
      <c r="P22" t="b">
        <f t="shared" si="8"/>
        <v>0</v>
      </c>
    </row>
    <row r="23" spans="1:16" x14ac:dyDescent="0.25">
      <c r="A23" s="1">
        <v>136</v>
      </c>
      <c r="B23" s="1">
        <v>160.19880000000001</v>
      </c>
      <c r="C23" s="4">
        <f t="shared" si="0"/>
        <v>134.43680000000001</v>
      </c>
      <c r="D23" s="2">
        <f t="shared" si="1"/>
        <v>270.43680000000001</v>
      </c>
      <c r="E23" s="2">
        <f t="shared" si="2"/>
        <v>136</v>
      </c>
      <c r="F23" s="2">
        <f t="shared" si="3"/>
        <v>270.43680000000001</v>
      </c>
      <c r="G23" s="2">
        <f t="shared" si="4"/>
        <v>136</v>
      </c>
      <c r="H23" s="2">
        <f t="shared" si="5"/>
        <v>134.43680000000001</v>
      </c>
      <c r="I23" s="2">
        <f t="shared" si="9"/>
        <v>24.198800000000006</v>
      </c>
      <c r="J23" s="7">
        <f t="shared" si="10"/>
        <v>0</v>
      </c>
      <c r="K23" s="2">
        <f t="shared" si="11"/>
        <v>134.43680000000001</v>
      </c>
      <c r="L23" t="b">
        <f t="shared" si="6"/>
        <v>1</v>
      </c>
      <c r="M23" s="2">
        <f t="shared" si="7"/>
        <v>24.198800000000006</v>
      </c>
      <c r="N23" s="2">
        <f>IF(SUM($M$4:M23)&lt;0,0,SUM($M$4:M23))</f>
        <v>29.892169999999993</v>
      </c>
      <c r="O23" s="2">
        <f>SUM($M$4:M23)</f>
        <v>29.892169999999993</v>
      </c>
      <c r="P23" t="b">
        <f t="shared" si="8"/>
        <v>0</v>
      </c>
    </row>
    <row r="24" spans="1:16" x14ac:dyDescent="0.25">
      <c r="A24" s="1">
        <v>136</v>
      </c>
      <c r="B24" s="1">
        <v>67.524169999999998</v>
      </c>
      <c r="C24" s="4">
        <f t="shared" si="0"/>
        <v>65.960970000000003</v>
      </c>
      <c r="D24" s="2">
        <f t="shared" si="1"/>
        <v>201.96097</v>
      </c>
      <c r="E24" s="2">
        <f t="shared" si="2"/>
        <v>136</v>
      </c>
      <c r="F24" s="2">
        <f t="shared" si="3"/>
        <v>201.96097</v>
      </c>
      <c r="G24" s="2">
        <f t="shared" si="4"/>
        <v>136</v>
      </c>
      <c r="H24" s="2">
        <f t="shared" si="5"/>
        <v>65.960970000000003</v>
      </c>
      <c r="I24" s="2">
        <f t="shared" si="9"/>
        <v>-68.475830000000002</v>
      </c>
      <c r="J24" s="7">
        <f t="shared" si="10"/>
        <v>0</v>
      </c>
      <c r="K24" s="2">
        <f t="shared" si="11"/>
        <v>65.960970000000003</v>
      </c>
      <c r="L24" t="b">
        <f t="shared" si="6"/>
        <v>1</v>
      </c>
      <c r="M24" s="2">
        <f t="shared" si="7"/>
        <v>-68.475830000000002</v>
      </c>
      <c r="N24" s="2">
        <f>IF(SUM($M$4:M24)&lt;0,0,SUM($M$4:M24))</f>
        <v>0</v>
      </c>
      <c r="O24" s="2">
        <f>SUM($M$4:M24)</f>
        <v>-38.583660000000009</v>
      </c>
      <c r="P24" t="b">
        <f t="shared" si="8"/>
        <v>0</v>
      </c>
    </row>
    <row r="25" spans="1:16" x14ac:dyDescent="0.25">
      <c r="A25" s="1">
        <v>136</v>
      </c>
      <c r="B25" s="1">
        <v>198.09379999999999</v>
      </c>
      <c r="C25" s="4">
        <f t="shared" si="0"/>
        <v>128.05476999999996</v>
      </c>
      <c r="D25" s="2">
        <f t="shared" si="1"/>
        <v>264.05476999999996</v>
      </c>
      <c r="E25" s="2">
        <f t="shared" si="2"/>
        <v>136</v>
      </c>
      <c r="F25" s="2">
        <f t="shared" si="3"/>
        <v>264.05476999999996</v>
      </c>
      <c r="G25" s="2">
        <f t="shared" si="4"/>
        <v>136</v>
      </c>
      <c r="H25" s="2">
        <f t="shared" si="5"/>
        <v>128.05476999999996</v>
      </c>
      <c r="I25" s="2">
        <f t="shared" si="9"/>
        <v>62.093799999999959</v>
      </c>
      <c r="J25" s="7">
        <f t="shared" si="10"/>
        <v>0</v>
      </c>
      <c r="K25" s="2">
        <f t="shared" si="11"/>
        <v>128.05476999999996</v>
      </c>
      <c r="L25" t="b">
        <f t="shared" si="6"/>
        <v>1</v>
      </c>
      <c r="M25" s="2">
        <f t="shared" si="7"/>
        <v>62.093799999999987</v>
      </c>
      <c r="N25" s="2">
        <f>IF(SUM($M$4:M25)&lt;0,0,SUM($M$4:M25))</f>
        <v>23.510139999999978</v>
      </c>
      <c r="O25" s="2">
        <f>SUM($M$4:M25)</f>
        <v>23.510139999999978</v>
      </c>
      <c r="P25" t="b">
        <f t="shared" si="8"/>
        <v>0</v>
      </c>
    </row>
    <row r="26" spans="1:16" x14ac:dyDescent="0.25">
      <c r="A26" s="1">
        <v>136</v>
      </c>
      <c r="B26" s="1">
        <v>95.80883</v>
      </c>
      <c r="C26" s="4">
        <f t="shared" si="0"/>
        <v>87.863599999999963</v>
      </c>
      <c r="D26" s="2">
        <f t="shared" si="1"/>
        <v>223.86359999999996</v>
      </c>
      <c r="E26" s="2">
        <f t="shared" si="2"/>
        <v>136</v>
      </c>
      <c r="F26" s="2">
        <f t="shared" si="3"/>
        <v>223.86359999999996</v>
      </c>
      <c r="G26" s="2">
        <f t="shared" si="4"/>
        <v>136</v>
      </c>
      <c r="H26" s="2">
        <f t="shared" si="5"/>
        <v>87.863599999999963</v>
      </c>
      <c r="I26" s="2">
        <f t="shared" si="9"/>
        <v>-40.19117</v>
      </c>
      <c r="J26" s="7">
        <f t="shared" si="10"/>
        <v>0</v>
      </c>
      <c r="K26" s="2">
        <f t="shared" si="11"/>
        <v>87.863599999999963</v>
      </c>
      <c r="L26" t="b">
        <f t="shared" si="6"/>
        <v>1</v>
      </c>
      <c r="M26" s="2">
        <f t="shared" si="7"/>
        <v>-40.19117</v>
      </c>
      <c r="N26" s="2">
        <f>IF(SUM($M$4:M26)&lt;0,0,SUM($M$4:M26))</f>
        <v>0</v>
      </c>
      <c r="O26" s="2">
        <f>SUM($M$4:M26)</f>
        <v>-16.681030000000021</v>
      </c>
      <c r="P26" t="b">
        <f t="shared" si="8"/>
        <v>0</v>
      </c>
    </row>
    <row r="27" spans="1:16" x14ac:dyDescent="0.25">
      <c r="A27" s="1">
        <v>136</v>
      </c>
      <c r="B27" s="1">
        <v>87.885000000000005</v>
      </c>
      <c r="C27" s="4">
        <f t="shared" si="0"/>
        <v>39.748599999999954</v>
      </c>
      <c r="D27" s="2">
        <f t="shared" si="1"/>
        <v>175.74859999999995</v>
      </c>
      <c r="E27" s="2">
        <f t="shared" si="2"/>
        <v>136</v>
      </c>
      <c r="F27" s="2">
        <f t="shared" si="3"/>
        <v>175.74859999999995</v>
      </c>
      <c r="G27" s="2">
        <f t="shared" si="4"/>
        <v>136</v>
      </c>
      <c r="H27" s="2">
        <f t="shared" si="5"/>
        <v>39.748599999999954</v>
      </c>
      <c r="I27" s="2">
        <f t="shared" si="9"/>
        <v>-48.115000000000009</v>
      </c>
      <c r="J27" s="7">
        <f t="shared" si="10"/>
        <v>0</v>
      </c>
      <c r="K27" s="2">
        <f t="shared" si="11"/>
        <v>39.748599999999954</v>
      </c>
      <c r="L27" t="b">
        <f t="shared" si="6"/>
        <v>1</v>
      </c>
      <c r="M27" s="2">
        <f t="shared" si="7"/>
        <v>-48.114999999999995</v>
      </c>
      <c r="N27" s="2">
        <f>IF(SUM($M$4:M27)&lt;0,0,SUM($M$4:M27))</f>
        <v>0</v>
      </c>
      <c r="O27" s="2">
        <f>SUM($M$4:M27)</f>
        <v>-64.796030000000016</v>
      </c>
      <c r="P27" t="b">
        <f t="shared" si="8"/>
        <v>0</v>
      </c>
    </row>
    <row r="28" spans="1:16" x14ac:dyDescent="0.25">
      <c r="A28" s="1">
        <v>136</v>
      </c>
      <c r="B28" s="1">
        <v>116.005</v>
      </c>
      <c r="C28" s="4">
        <f t="shared" si="0"/>
        <v>19.753599999999949</v>
      </c>
      <c r="D28" s="2">
        <f t="shared" si="1"/>
        <v>155.75359999999995</v>
      </c>
      <c r="E28" s="2">
        <f t="shared" si="2"/>
        <v>136</v>
      </c>
      <c r="F28" s="2">
        <f t="shared" si="3"/>
        <v>155.75359999999995</v>
      </c>
      <c r="G28" s="2">
        <f t="shared" si="4"/>
        <v>136</v>
      </c>
      <c r="H28" s="2">
        <f t="shared" si="5"/>
        <v>19.753599999999949</v>
      </c>
      <c r="I28" s="2">
        <f t="shared" si="9"/>
        <v>-19.995000000000005</v>
      </c>
      <c r="J28" s="7">
        <f t="shared" si="10"/>
        <v>0</v>
      </c>
      <c r="K28" s="2">
        <f t="shared" si="11"/>
        <v>19.753599999999949</v>
      </c>
      <c r="L28" t="b">
        <f t="shared" si="6"/>
        <v>1</v>
      </c>
      <c r="M28" s="2">
        <f t="shared" si="7"/>
        <v>-19.995000000000005</v>
      </c>
      <c r="N28" s="2">
        <f>IF(SUM($M$4:M28)&lt;0,0,SUM($M$4:M28))</f>
        <v>0</v>
      </c>
      <c r="O28" s="2">
        <f>SUM($M$4:M28)</f>
        <v>-84.791030000000021</v>
      </c>
      <c r="P28" t="b">
        <f t="shared" si="8"/>
        <v>0</v>
      </c>
    </row>
    <row r="29" spans="1:16" x14ac:dyDescent="0.25">
      <c r="A29" s="1">
        <v>136</v>
      </c>
      <c r="B29" s="1">
        <v>232.55420000000001</v>
      </c>
      <c r="C29" s="4">
        <f t="shared" si="0"/>
        <v>116.30779999999996</v>
      </c>
      <c r="D29" s="2">
        <f t="shared" si="1"/>
        <v>252.30779999999996</v>
      </c>
      <c r="E29" s="2">
        <f t="shared" si="2"/>
        <v>136</v>
      </c>
      <c r="F29" s="2">
        <f t="shared" si="3"/>
        <v>252.30779999999996</v>
      </c>
      <c r="G29" s="2">
        <f t="shared" si="4"/>
        <v>136</v>
      </c>
      <c r="H29" s="2">
        <f t="shared" si="5"/>
        <v>116.30779999999996</v>
      </c>
      <c r="I29" s="2">
        <f t="shared" si="9"/>
        <v>96.554200000000009</v>
      </c>
      <c r="J29" s="7">
        <f t="shared" si="10"/>
        <v>0</v>
      </c>
      <c r="K29" s="2">
        <f t="shared" si="11"/>
        <v>116.30779999999996</v>
      </c>
      <c r="L29" t="b">
        <f t="shared" si="6"/>
        <v>1</v>
      </c>
      <c r="M29" s="2">
        <f t="shared" si="7"/>
        <v>96.554200000000009</v>
      </c>
      <c r="N29" s="2">
        <f>IF(SUM($M$4:M29)&lt;0,0,SUM($M$4:M29))</f>
        <v>11.763169999999988</v>
      </c>
      <c r="O29" s="2">
        <f>SUM($M$4:M29)</f>
        <v>11.763169999999988</v>
      </c>
      <c r="P29" t="b">
        <f t="shared" si="8"/>
        <v>0</v>
      </c>
    </row>
    <row r="30" spans="1:16" x14ac:dyDescent="0.25">
      <c r="A30" s="1">
        <v>136</v>
      </c>
      <c r="B30" s="1">
        <v>37.924999999999997</v>
      </c>
      <c r="C30" s="4">
        <f t="shared" si="0"/>
        <v>18.232799999999941</v>
      </c>
      <c r="D30" s="2">
        <f t="shared" si="1"/>
        <v>154.23279999999994</v>
      </c>
      <c r="E30" s="2">
        <f t="shared" si="2"/>
        <v>136</v>
      </c>
      <c r="F30" s="2">
        <f t="shared" si="3"/>
        <v>154.23279999999994</v>
      </c>
      <c r="G30" s="2">
        <f t="shared" si="4"/>
        <v>136</v>
      </c>
      <c r="H30" s="2">
        <f t="shared" si="5"/>
        <v>18.232799999999941</v>
      </c>
      <c r="I30" s="2">
        <f t="shared" si="9"/>
        <v>-98.075000000000017</v>
      </c>
      <c r="J30" s="7">
        <f t="shared" si="10"/>
        <v>0</v>
      </c>
      <c r="K30" s="2">
        <f t="shared" si="11"/>
        <v>18.232799999999941</v>
      </c>
      <c r="L30" t="b">
        <f t="shared" si="6"/>
        <v>1</v>
      </c>
      <c r="M30" s="2">
        <f t="shared" si="7"/>
        <v>-98.075000000000003</v>
      </c>
      <c r="N30" s="2">
        <f>IF(SUM($M$4:M30)&lt;0,0,SUM($M$4:M30))</f>
        <v>0</v>
      </c>
      <c r="O30" s="2">
        <f>SUM($M$4:M30)</f>
        <v>-86.311830000000015</v>
      </c>
      <c r="P30" t="b">
        <f t="shared" si="8"/>
        <v>0</v>
      </c>
    </row>
    <row r="31" spans="1:16" x14ac:dyDescent="0.25">
      <c r="A31" s="1">
        <v>136</v>
      </c>
      <c r="B31" s="1">
        <v>35.903500000000001</v>
      </c>
      <c r="C31" s="4">
        <f t="shared" si="0"/>
        <v>0</v>
      </c>
      <c r="D31" s="2">
        <f t="shared" si="1"/>
        <v>54.136299999999942</v>
      </c>
      <c r="E31" s="2">
        <f t="shared" si="2"/>
        <v>136</v>
      </c>
      <c r="F31" s="2">
        <f t="shared" si="3"/>
        <v>54.136299999999942</v>
      </c>
      <c r="G31" s="2">
        <f t="shared" si="4"/>
        <v>136</v>
      </c>
      <c r="H31" s="2">
        <f t="shared" si="5"/>
        <v>-81.863700000000051</v>
      </c>
      <c r="I31" s="2">
        <f t="shared" si="9"/>
        <v>-100.09649999999999</v>
      </c>
      <c r="J31" s="7">
        <f t="shared" si="10"/>
        <v>0</v>
      </c>
      <c r="K31" s="2">
        <f t="shared" si="11"/>
        <v>-81.863700000000051</v>
      </c>
      <c r="L31" t="b">
        <f t="shared" si="6"/>
        <v>0</v>
      </c>
      <c r="M31" s="2">
        <f t="shared" si="7"/>
        <v>-100.09649999999999</v>
      </c>
      <c r="N31" s="2">
        <f>IF(SUM($M$4:M31)&lt;0,0,SUM($M$4:M31))</f>
        <v>0</v>
      </c>
      <c r="O31" s="2">
        <f>SUM($M$4:M31)</f>
        <v>-186.40833000000001</v>
      </c>
      <c r="P31" t="b">
        <f t="shared" si="8"/>
        <v>1</v>
      </c>
    </row>
    <row r="32" spans="1:16" x14ac:dyDescent="0.25">
      <c r="A32" s="1">
        <v>136</v>
      </c>
      <c r="B32" s="1">
        <v>15.8</v>
      </c>
      <c r="C32" s="4">
        <f t="shared" si="0"/>
        <v>0</v>
      </c>
      <c r="D32" s="2">
        <f t="shared" si="1"/>
        <v>15.8</v>
      </c>
      <c r="E32" s="2">
        <f t="shared" si="2"/>
        <v>136</v>
      </c>
      <c r="F32" s="2">
        <f t="shared" si="3"/>
        <v>15.8</v>
      </c>
      <c r="G32" s="2">
        <f t="shared" si="4"/>
        <v>136</v>
      </c>
      <c r="H32" s="2">
        <f t="shared" si="5"/>
        <v>-120.2</v>
      </c>
      <c r="I32" s="2">
        <f t="shared" si="9"/>
        <v>-38.336299999999952</v>
      </c>
      <c r="J32" s="7">
        <f t="shared" si="10"/>
        <v>81.863700000000051</v>
      </c>
      <c r="K32" s="2">
        <f t="shared" si="11"/>
        <v>-120.2</v>
      </c>
      <c r="L32" t="b">
        <f t="shared" si="6"/>
        <v>0</v>
      </c>
      <c r="M32" s="2">
        <f t="shared" si="7"/>
        <v>-120.2</v>
      </c>
      <c r="N32" s="2">
        <f>IF(SUM($M$4:M32)&lt;0,0,SUM($M$4:M32))</f>
        <v>0</v>
      </c>
      <c r="O32" s="2">
        <f>SUM($M$4:M32)</f>
        <v>-306.60833000000002</v>
      </c>
      <c r="P32" t="b">
        <f t="shared" si="8"/>
        <v>1</v>
      </c>
    </row>
    <row r="33" spans="1:16" x14ac:dyDescent="0.25">
      <c r="A33" s="1">
        <v>136</v>
      </c>
      <c r="B33" s="1">
        <v>53.771000000000001</v>
      </c>
      <c r="C33" s="4">
        <f t="shared" si="0"/>
        <v>0</v>
      </c>
      <c r="D33" s="2">
        <f t="shared" si="1"/>
        <v>53.771000000000001</v>
      </c>
      <c r="E33" s="2">
        <f t="shared" si="2"/>
        <v>136</v>
      </c>
      <c r="F33" s="2">
        <f t="shared" si="3"/>
        <v>53.771000000000001</v>
      </c>
      <c r="G33" s="2">
        <f t="shared" si="4"/>
        <v>136</v>
      </c>
      <c r="H33" s="2">
        <f t="shared" si="5"/>
        <v>-82.228999999999999</v>
      </c>
      <c r="I33" s="2">
        <f t="shared" si="9"/>
        <v>37.971000000000004</v>
      </c>
      <c r="J33" s="7">
        <f t="shared" si="10"/>
        <v>120.2</v>
      </c>
      <c r="K33" s="2">
        <f t="shared" si="11"/>
        <v>-82.228999999999999</v>
      </c>
      <c r="L33" t="b">
        <f t="shared" si="6"/>
        <v>0</v>
      </c>
      <c r="M33" s="2">
        <f t="shared" si="7"/>
        <v>-82.228999999999999</v>
      </c>
      <c r="N33" s="2">
        <f>IF(SUM($M$4:M33)&lt;0,0,SUM($M$4:M33))</f>
        <v>0</v>
      </c>
      <c r="O33" s="2">
        <f>SUM($M$4:M33)</f>
        <v>-388.83733000000001</v>
      </c>
      <c r="P33" t="b">
        <f t="shared" si="8"/>
        <v>1</v>
      </c>
    </row>
    <row r="34" spans="1:16" x14ac:dyDescent="0.25">
      <c r="A34" s="1">
        <v>136</v>
      </c>
      <c r="B34" s="1">
        <v>114.4988</v>
      </c>
      <c r="C34" s="4">
        <f t="shared" si="0"/>
        <v>0</v>
      </c>
      <c r="D34" s="2">
        <f t="shared" si="1"/>
        <v>114.4988</v>
      </c>
      <c r="E34" s="2">
        <f t="shared" si="2"/>
        <v>136</v>
      </c>
      <c r="F34" s="2">
        <f t="shared" si="3"/>
        <v>114.4988</v>
      </c>
      <c r="G34" s="2">
        <f t="shared" si="4"/>
        <v>136</v>
      </c>
      <c r="H34" s="2">
        <f t="shared" si="5"/>
        <v>-21.501199999999997</v>
      </c>
      <c r="I34" s="2">
        <f t="shared" si="9"/>
        <v>60.727800000000002</v>
      </c>
      <c r="J34" s="7">
        <f t="shared" si="10"/>
        <v>82.228999999999999</v>
      </c>
      <c r="K34" s="2">
        <f t="shared" si="11"/>
        <v>-21.501199999999997</v>
      </c>
      <c r="L34" t="b">
        <f t="shared" si="6"/>
        <v>0</v>
      </c>
      <c r="M34" s="2">
        <f t="shared" si="7"/>
        <v>-21.501199999999997</v>
      </c>
      <c r="N34" s="2">
        <f>IF(SUM($M$4:M34)&lt;0,0,SUM($M$4:M34))</f>
        <v>0</v>
      </c>
      <c r="O34" s="2">
        <f>SUM($M$4:M34)</f>
        <v>-410.33852999999999</v>
      </c>
      <c r="P34" t="b">
        <f t="shared" si="8"/>
        <v>1</v>
      </c>
    </row>
  </sheetData>
  <conditionalFormatting sqref="M1:M1048576 O1:O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325C-2D28-41C2-AC09-374951E9773D}">
  <dimension ref="A1:Y34"/>
  <sheetViews>
    <sheetView workbookViewId="0">
      <selection activeCell="Q11" sqref="Q11"/>
    </sheetView>
  </sheetViews>
  <sheetFormatPr defaultRowHeight="15" x14ac:dyDescent="0.25"/>
  <cols>
    <col min="1" max="1" width="10.28515625" bestFit="1" customWidth="1"/>
    <col min="2" max="4" width="9.5703125" bestFit="1" customWidth="1"/>
    <col min="5" max="6" width="9.5703125" customWidth="1"/>
    <col min="7" max="7" width="15.140625" customWidth="1"/>
    <col min="8" max="8" width="11.42578125" bestFit="1" customWidth="1"/>
    <col min="9" max="9" width="11.5703125" bestFit="1" customWidth="1"/>
    <col min="10" max="10" width="11.7109375" bestFit="1" customWidth="1"/>
    <col min="12" max="12" width="9.5703125" bestFit="1" customWidth="1"/>
    <col min="14" max="14" width="9.5703125" bestFit="1" customWidth="1"/>
    <col min="20" max="20" width="14.7109375" bestFit="1" customWidth="1"/>
    <col min="21" max="21" width="13.42578125" bestFit="1" customWidth="1"/>
    <col min="22" max="22" width="21.42578125" bestFit="1" customWidth="1"/>
    <col min="23" max="23" width="12" customWidth="1"/>
    <col min="25" max="25" width="19" bestFit="1" customWidth="1"/>
  </cols>
  <sheetData>
    <row r="1" spans="1:25" x14ac:dyDescent="0.25">
      <c r="A1" t="s">
        <v>3</v>
      </c>
      <c r="B1" t="s">
        <v>4</v>
      </c>
      <c r="C1" t="s">
        <v>5</v>
      </c>
    </row>
    <row r="2" spans="1:25" x14ac:dyDescent="0.25">
      <c r="A2" t="s">
        <v>2</v>
      </c>
      <c r="B2" t="s">
        <v>0</v>
      </c>
      <c r="C2" t="s">
        <v>1</v>
      </c>
      <c r="R2" t="s">
        <v>15</v>
      </c>
      <c r="T2" t="s">
        <v>16</v>
      </c>
      <c r="U2" t="s">
        <v>17</v>
      </c>
      <c r="V2" t="s">
        <v>20</v>
      </c>
      <c r="X2" t="s">
        <v>18</v>
      </c>
      <c r="Y2" t="s">
        <v>19</v>
      </c>
    </row>
    <row r="3" spans="1:25" x14ac:dyDescent="0.25">
      <c r="A3" t="s">
        <v>9</v>
      </c>
      <c r="E3" s="3" t="s">
        <v>6</v>
      </c>
    </row>
    <row r="4" spans="1:25" x14ac:dyDescent="0.25">
      <c r="A4" s="1">
        <v>0</v>
      </c>
      <c r="B4" s="1">
        <v>0</v>
      </c>
      <c r="C4" s="4">
        <f>IF((B4+C3)&gt;A4,(B4+C3)-A4,0)</f>
        <v>0</v>
      </c>
      <c r="D4" s="2">
        <f>C3</f>
        <v>0</v>
      </c>
      <c r="E4" s="2">
        <f>B4+C3</f>
        <v>0</v>
      </c>
      <c r="F4" s="2">
        <f>E4-A4</f>
        <v>0</v>
      </c>
      <c r="H4" s="24" t="s">
        <v>10</v>
      </c>
      <c r="I4" s="24" t="s">
        <v>11</v>
      </c>
      <c r="J4" s="24" t="s">
        <v>12</v>
      </c>
      <c r="P4" s="24" t="s">
        <v>13</v>
      </c>
      <c r="V4">
        <f>IF((B4+C3)&gt;T4,(B4+C3)-T4,0)</f>
        <v>0</v>
      </c>
      <c r="W4">
        <f>V3</f>
        <v>0</v>
      </c>
    </row>
    <row r="5" spans="1:25" x14ac:dyDescent="0.25">
      <c r="A5" s="1">
        <v>136</v>
      </c>
      <c r="B5" s="1">
        <v>0</v>
      </c>
      <c r="C5" s="4">
        <f>IF((B5+D5)&gt;A5,(B5+D5)-A5,0)</f>
        <v>0</v>
      </c>
      <c r="D5" s="2">
        <f t="shared" ref="D5" si="0">C4</f>
        <v>0</v>
      </c>
      <c r="E5" s="2">
        <f>B5+D5</f>
        <v>0</v>
      </c>
      <c r="F5" s="2">
        <f t="shared" ref="F5:F20" si="1">E5-A5</f>
        <v>-136</v>
      </c>
      <c r="G5" s="2">
        <f>F5-F4</f>
        <v>-136</v>
      </c>
      <c r="H5" s="25">
        <f>SUM($A$5:A5)</f>
        <v>136</v>
      </c>
      <c r="I5" s="25">
        <f>SUM($B$5:B5)</f>
        <v>0</v>
      </c>
      <c r="J5" s="25">
        <f>I5-H5</f>
        <v>-136</v>
      </c>
      <c r="K5" s="17">
        <f>IF(J5&lt;0,-J5,0)</f>
        <v>136</v>
      </c>
      <c r="L5" s="2">
        <f>I5+K5</f>
        <v>136</v>
      </c>
      <c r="M5" s="2">
        <f>L5-H5</f>
        <v>0</v>
      </c>
      <c r="N5" s="19">
        <f t="shared" ref="N5:N11" si="2">C5+H5</f>
        <v>136</v>
      </c>
      <c r="O5" s="19">
        <f t="shared" ref="O5:O11" si="3">N5-I5</f>
        <v>136</v>
      </c>
      <c r="P5" s="25">
        <f>-MIN($J$5:J5,0)</f>
        <v>136</v>
      </c>
      <c r="Q5" s="8">
        <f>SUM(I5,P5)-H5</f>
        <v>0</v>
      </c>
      <c r="R5">
        <v>170</v>
      </c>
      <c r="T5">
        <f>SUM($R$5:R5)</f>
        <v>170</v>
      </c>
      <c r="U5" s="2">
        <f>I5-T5</f>
        <v>-170</v>
      </c>
      <c r="V5">
        <f>IF((B5+W5)&gt;R5,(B5+W5)-R5,0)</f>
        <v>0</v>
      </c>
      <c r="W5">
        <f>V4</f>
        <v>0</v>
      </c>
      <c r="X5" s="2">
        <f>-MIN($U$5:U5,0)</f>
        <v>170</v>
      </c>
      <c r="Y5" s="2">
        <f>SUM(I5,X5)-T5</f>
        <v>0</v>
      </c>
    </row>
    <row r="6" spans="1:25" x14ac:dyDescent="0.25">
      <c r="A6" s="1">
        <v>136</v>
      </c>
      <c r="B6" s="1">
        <v>1.55</v>
      </c>
      <c r="C6" s="4">
        <f t="shared" ref="C6:C20" si="4">IF((B6+D6)&gt;A6,(B6+D6)-A6,0)</f>
        <v>0</v>
      </c>
      <c r="D6" s="2">
        <f>IF((B5+D5)&gt;A5,(B5+D5)-A5,0)</f>
        <v>0</v>
      </c>
      <c r="E6" s="2">
        <f t="shared" ref="E6:E20" si="5">B6+D6</f>
        <v>1.55</v>
      </c>
      <c r="F6" s="2">
        <f t="shared" si="1"/>
        <v>-134.44999999999999</v>
      </c>
      <c r="G6" s="2">
        <f t="shared" ref="G6:G20" si="6">F6-F5</f>
        <v>1.5500000000000114</v>
      </c>
      <c r="H6" s="25">
        <f>SUM($A$5:A6)</f>
        <v>272</v>
      </c>
      <c r="I6" s="25">
        <f>SUM($B$5:B6)</f>
        <v>1.55</v>
      </c>
      <c r="J6" s="25">
        <f t="shared" ref="J6:J20" si="7">I6-H6</f>
        <v>-270.45</v>
      </c>
      <c r="K6" s="17">
        <f t="shared" ref="K6:K20" si="8">IF(J6&lt;0,-J6,0)</f>
        <v>270.45</v>
      </c>
      <c r="L6" s="2">
        <f t="shared" ref="L6:L20" si="9">I6+K6</f>
        <v>272</v>
      </c>
      <c r="M6" s="2">
        <f t="shared" ref="M6:M20" si="10">L6-H6</f>
        <v>0</v>
      </c>
      <c r="N6" s="19">
        <f t="shared" si="2"/>
        <v>272</v>
      </c>
      <c r="O6" s="19">
        <f t="shared" si="3"/>
        <v>270.45</v>
      </c>
      <c r="P6" s="25">
        <f>-MIN($J$5:J6,0)</f>
        <v>270.45</v>
      </c>
      <c r="Q6" s="8">
        <f t="shared" ref="Q6:Q20" si="11">SUM(I6,P6)-H6</f>
        <v>0</v>
      </c>
      <c r="R6">
        <v>170</v>
      </c>
      <c r="T6">
        <f>SUM($R$5:R6)</f>
        <v>340</v>
      </c>
      <c r="U6" s="2">
        <f t="shared" ref="U6:U20" si="12">I6-T6</f>
        <v>-338.45</v>
      </c>
      <c r="V6">
        <f t="shared" ref="V6:V20" si="13">IF((B6+W6)&gt;R6,(B6+W6)-R6,0)</f>
        <v>0</v>
      </c>
      <c r="W6">
        <f>IF((B5+W5)&gt;R5,(B5+W5)-R5,0)</f>
        <v>0</v>
      </c>
      <c r="X6" s="2">
        <f>-MIN($U$5:U6,0)</f>
        <v>338.45</v>
      </c>
      <c r="Y6" s="2">
        <f t="shared" ref="Y6:Y20" si="14">SUM(I6,X6)-T6</f>
        <v>0</v>
      </c>
    </row>
    <row r="7" spans="1:25" x14ac:dyDescent="0.25">
      <c r="A7" s="1">
        <v>136</v>
      </c>
      <c r="B7" s="1">
        <v>85.4</v>
      </c>
      <c r="C7" s="4">
        <f t="shared" si="4"/>
        <v>0</v>
      </c>
      <c r="D7" s="2">
        <f t="shared" ref="D7:D20" si="15">IF((B6+D6)&gt;A6,(B6+D6)-A6,0)</f>
        <v>0</v>
      </c>
      <c r="E7" s="2">
        <f t="shared" si="5"/>
        <v>85.4</v>
      </c>
      <c r="F7" s="2">
        <f t="shared" si="1"/>
        <v>-50.599999999999994</v>
      </c>
      <c r="G7" s="2">
        <f t="shared" si="6"/>
        <v>83.85</v>
      </c>
      <c r="H7" s="25">
        <f>SUM($A$5:A7)</f>
        <v>408</v>
      </c>
      <c r="I7" s="25">
        <f>SUM($B$5:B7)</f>
        <v>86.95</v>
      </c>
      <c r="J7" s="25">
        <f t="shared" si="7"/>
        <v>-321.05</v>
      </c>
      <c r="K7" s="17">
        <f t="shared" si="8"/>
        <v>321.05</v>
      </c>
      <c r="L7" s="2">
        <f t="shared" si="9"/>
        <v>408</v>
      </c>
      <c r="M7" s="2">
        <f t="shared" si="10"/>
        <v>0</v>
      </c>
      <c r="N7" s="19">
        <f t="shared" si="2"/>
        <v>408</v>
      </c>
      <c r="O7" s="19">
        <f t="shared" si="3"/>
        <v>321.05</v>
      </c>
      <c r="P7" s="25">
        <f>-MIN($J$5:J7,0)</f>
        <v>321.05</v>
      </c>
      <c r="Q7" s="8">
        <f t="shared" si="11"/>
        <v>0</v>
      </c>
      <c r="R7">
        <v>170</v>
      </c>
      <c r="T7">
        <f>SUM($R$5:R7)</f>
        <v>510</v>
      </c>
      <c r="U7" s="2">
        <f t="shared" si="12"/>
        <v>-423.05</v>
      </c>
      <c r="V7">
        <f t="shared" si="13"/>
        <v>0</v>
      </c>
      <c r="W7">
        <f t="shared" ref="W7:W20" si="16">IF((B6+W6)&gt;R6,(B6+W6)-R6,0)</f>
        <v>0</v>
      </c>
      <c r="X7" s="2">
        <f>-MIN($U$5:U7,0)</f>
        <v>423.05</v>
      </c>
      <c r="Y7" s="2">
        <f t="shared" si="14"/>
        <v>0</v>
      </c>
    </row>
    <row r="8" spans="1:25" x14ac:dyDescent="0.25">
      <c r="A8" s="1">
        <v>143</v>
      </c>
      <c r="B8" s="1">
        <v>49.95</v>
      </c>
      <c r="C8" s="16">
        <f t="shared" si="4"/>
        <v>0</v>
      </c>
      <c r="D8" s="2">
        <f t="shared" si="15"/>
        <v>0</v>
      </c>
      <c r="E8" s="2">
        <f t="shared" si="5"/>
        <v>49.95</v>
      </c>
      <c r="F8" s="2">
        <f t="shared" si="1"/>
        <v>-93.05</v>
      </c>
      <c r="G8" s="2">
        <f t="shared" si="6"/>
        <v>-42.45</v>
      </c>
      <c r="H8" s="25">
        <f>SUM($A$5:A8)</f>
        <v>551</v>
      </c>
      <c r="I8" s="25">
        <f>SUM($B$5:B8)</f>
        <v>136.9</v>
      </c>
      <c r="J8" s="25">
        <f t="shared" si="7"/>
        <v>-414.1</v>
      </c>
      <c r="K8" s="17">
        <f t="shared" si="8"/>
        <v>414.1</v>
      </c>
      <c r="L8" s="2">
        <f t="shared" si="9"/>
        <v>551</v>
      </c>
      <c r="M8" s="2">
        <f t="shared" si="10"/>
        <v>0</v>
      </c>
      <c r="N8" s="19">
        <f t="shared" si="2"/>
        <v>551</v>
      </c>
      <c r="O8" s="19">
        <f t="shared" si="3"/>
        <v>414.1</v>
      </c>
      <c r="P8" s="25">
        <f>-MIN($J$5:J8,0)</f>
        <v>414.1</v>
      </c>
      <c r="Q8" s="23">
        <f t="shared" si="11"/>
        <v>0</v>
      </c>
      <c r="R8">
        <v>170</v>
      </c>
      <c r="T8">
        <f>SUM($R$5:R8)</f>
        <v>680</v>
      </c>
      <c r="U8" s="2">
        <f t="shared" si="12"/>
        <v>-543.1</v>
      </c>
      <c r="V8">
        <f t="shared" si="13"/>
        <v>0</v>
      </c>
      <c r="W8">
        <f t="shared" si="16"/>
        <v>0</v>
      </c>
      <c r="X8" s="2">
        <f>-MIN($U$5:U8,0)</f>
        <v>543.1</v>
      </c>
      <c r="Y8" s="2">
        <f t="shared" si="14"/>
        <v>0</v>
      </c>
    </row>
    <row r="9" spans="1:25" s="10" customFormat="1" x14ac:dyDescent="0.25">
      <c r="A9" s="26">
        <v>114</v>
      </c>
      <c r="B9" s="26">
        <v>105.3</v>
      </c>
      <c r="C9" s="4">
        <f t="shared" si="4"/>
        <v>0</v>
      </c>
      <c r="D9" s="2">
        <f t="shared" si="15"/>
        <v>0</v>
      </c>
      <c r="E9" s="2">
        <f t="shared" si="5"/>
        <v>105.3</v>
      </c>
      <c r="F9" s="2">
        <f t="shared" si="1"/>
        <v>-8.7000000000000028</v>
      </c>
      <c r="G9" s="2">
        <f t="shared" si="6"/>
        <v>84.35</v>
      </c>
      <c r="H9" s="25">
        <f>SUM($A$5:A9)</f>
        <v>665</v>
      </c>
      <c r="I9" s="25">
        <f>SUM($B$5:B9)</f>
        <v>242.2</v>
      </c>
      <c r="J9" s="25">
        <f t="shared" si="7"/>
        <v>-422.8</v>
      </c>
      <c r="K9" s="22">
        <f t="shared" si="8"/>
        <v>422.8</v>
      </c>
      <c r="L9" s="2">
        <f t="shared" si="9"/>
        <v>665</v>
      </c>
      <c r="M9" s="2">
        <f t="shared" si="10"/>
        <v>0</v>
      </c>
      <c r="N9" s="19">
        <f t="shared" si="2"/>
        <v>665</v>
      </c>
      <c r="O9" s="19">
        <f t="shared" si="3"/>
        <v>422.8</v>
      </c>
      <c r="P9" s="25">
        <f>-MIN($J$5:J9,0)</f>
        <v>422.8</v>
      </c>
      <c r="Q9" s="8">
        <f t="shared" si="11"/>
        <v>0</v>
      </c>
      <c r="R9">
        <v>170</v>
      </c>
      <c r="T9">
        <f>SUM($R$5:R9)</f>
        <v>850</v>
      </c>
      <c r="U9" s="2">
        <f t="shared" si="12"/>
        <v>-607.79999999999995</v>
      </c>
      <c r="V9">
        <f t="shared" si="13"/>
        <v>0</v>
      </c>
      <c r="W9">
        <f t="shared" si="16"/>
        <v>0</v>
      </c>
      <c r="X9" s="2">
        <f>-MIN($U$5:U9,0)</f>
        <v>607.79999999999995</v>
      </c>
      <c r="Y9" s="2">
        <f t="shared" si="14"/>
        <v>0</v>
      </c>
    </row>
    <row r="10" spans="1:25" s="10" customFormat="1" x14ac:dyDescent="0.25">
      <c r="A10" s="26">
        <v>143</v>
      </c>
      <c r="B10" s="26">
        <v>139.61000000000001</v>
      </c>
      <c r="C10" s="4">
        <f t="shared" si="4"/>
        <v>0</v>
      </c>
      <c r="D10" s="2">
        <f t="shared" si="15"/>
        <v>0</v>
      </c>
      <c r="E10" s="2">
        <f t="shared" si="5"/>
        <v>139.61000000000001</v>
      </c>
      <c r="F10" s="2">
        <f t="shared" si="1"/>
        <v>-3.3899999999999864</v>
      </c>
      <c r="G10" s="2">
        <f t="shared" si="6"/>
        <v>5.3100000000000165</v>
      </c>
      <c r="H10" s="25">
        <f>SUM($A$5:A10)</f>
        <v>808</v>
      </c>
      <c r="I10" s="25">
        <f>SUM($B$5:B10)</f>
        <v>381.81</v>
      </c>
      <c r="J10" s="25">
        <f t="shared" si="7"/>
        <v>-426.19</v>
      </c>
      <c r="K10" s="22">
        <f t="shared" si="8"/>
        <v>426.19</v>
      </c>
      <c r="L10" s="2">
        <f t="shared" si="9"/>
        <v>808</v>
      </c>
      <c r="M10" s="2">
        <f t="shared" si="10"/>
        <v>0</v>
      </c>
      <c r="N10" s="19">
        <f t="shared" si="2"/>
        <v>808</v>
      </c>
      <c r="O10" s="19">
        <f t="shared" si="3"/>
        <v>426.19</v>
      </c>
      <c r="P10" s="25">
        <f>-MIN($J$5:J10,0)</f>
        <v>426.19</v>
      </c>
      <c r="Q10" s="8">
        <f t="shared" si="11"/>
        <v>0</v>
      </c>
      <c r="R10">
        <v>170</v>
      </c>
      <c r="T10">
        <f>SUM($R$5:R10)</f>
        <v>1020</v>
      </c>
      <c r="U10" s="2">
        <f t="shared" si="12"/>
        <v>-638.19000000000005</v>
      </c>
      <c r="V10">
        <f t="shared" si="13"/>
        <v>0</v>
      </c>
      <c r="W10">
        <f t="shared" si="16"/>
        <v>0</v>
      </c>
      <c r="X10" s="2">
        <f>-MIN($U$5:U10,0)</f>
        <v>638.19000000000005</v>
      </c>
      <c r="Y10" s="2">
        <f t="shared" si="14"/>
        <v>0</v>
      </c>
    </row>
    <row r="11" spans="1:25" s="14" customFormat="1" x14ac:dyDescent="0.25">
      <c r="A11" s="26">
        <v>143</v>
      </c>
      <c r="B11" s="26">
        <v>187.45</v>
      </c>
      <c r="C11" s="4">
        <f t="shared" si="4"/>
        <v>44.449999999999989</v>
      </c>
      <c r="D11" s="2">
        <f t="shared" si="15"/>
        <v>0</v>
      </c>
      <c r="E11" s="2">
        <f t="shared" si="5"/>
        <v>187.45</v>
      </c>
      <c r="F11" s="2">
        <f t="shared" si="1"/>
        <v>44.449999999999989</v>
      </c>
      <c r="G11" s="2">
        <f t="shared" si="6"/>
        <v>47.839999999999975</v>
      </c>
      <c r="H11" s="25">
        <f>SUM($A$5:A11)</f>
        <v>951</v>
      </c>
      <c r="I11" s="25">
        <f>SUM($B$5:B11)</f>
        <v>569.26</v>
      </c>
      <c r="J11" s="25">
        <f t="shared" si="7"/>
        <v>-381.74</v>
      </c>
      <c r="K11" s="22">
        <f t="shared" si="8"/>
        <v>381.74</v>
      </c>
      <c r="L11" s="2">
        <f t="shared" si="9"/>
        <v>951</v>
      </c>
      <c r="M11" s="2">
        <f t="shared" si="10"/>
        <v>0</v>
      </c>
      <c r="N11" s="19">
        <f t="shared" si="2"/>
        <v>995.45</v>
      </c>
      <c r="O11" s="19">
        <f t="shared" si="3"/>
        <v>426.19000000000005</v>
      </c>
      <c r="P11" s="25">
        <f>-MIN($J$5:J11,0)</f>
        <v>426.19</v>
      </c>
      <c r="Q11" s="8">
        <f t="shared" si="11"/>
        <v>44.450000000000045</v>
      </c>
      <c r="R11">
        <v>170</v>
      </c>
      <c r="T11">
        <f>SUM($R$5:R11)</f>
        <v>1190</v>
      </c>
      <c r="U11" s="2">
        <f t="shared" si="12"/>
        <v>-620.74</v>
      </c>
      <c r="V11">
        <f t="shared" si="13"/>
        <v>17.449999999999989</v>
      </c>
      <c r="W11">
        <f t="shared" si="16"/>
        <v>0</v>
      </c>
      <c r="X11" s="2">
        <f>-MIN($U$5:U11,0)</f>
        <v>638.19000000000005</v>
      </c>
      <c r="Y11" s="2">
        <f t="shared" si="14"/>
        <v>17.450000000000045</v>
      </c>
    </row>
    <row r="12" spans="1:25" s="21" customFormat="1" x14ac:dyDescent="0.25">
      <c r="A12" s="18">
        <v>150</v>
      </c>
      <c r="B12" s="18">
        <v>129.63</v>
      </c>
      <c r="C12" s="18">
        <f t="shared" si="4"/>
        <v>24.079999999999984</v>
      </c>
      <c r="D12" s="19">
        <f t="shared" si="15"/>
        <v>44.449999999999989</v>
      </c>
      <c r="E12" s="19">
        <f t="shared" si="5"/>
        <v>174.07999999999998</v>
      </c>
      <c r="F12" s="19">
        <f t="shared" si="1"/>
        <v>24.079999999999984</v>
      </c>
      <c r="G12" s="19">
        <f t="shared" si="6"/>
        <v>-20.370000000000005</v>
      </c>
      <c r="H12" s="25">
        <f>SUM($A$5:A12)</f>
        <v>1101</v>
      </c>
      <c r="I12" s="25">
        <f>SUM($B$5:B12)</f>
        <v>698.89</v>
      </c>
      <c r="J12" s="25">
        <f t="shared" si="7"/>
        <v>-402.11</v>
      </c>
      <c r="K12" s="20">
        <f t="shared" si="8"/>
        <v>402.11</v>
      </c>
      <c r="L12" s="19">
        <f t="shared" si="9"/>
        <v>1101</v>
      </c>
      <c r="M12" s="19">
        <f t="shared" si="10"/>
        <v>0</v>
      </c>
      <c r="N12" s="19">
        <f>C12+H12</f>
        <v>1125.08</v>
      </c>
      <c r="O12" s="19">
        <f>N12-I12</f>
        <v>426.18999999999994</v>
      </c>
      <c r="P12" s="25">
        <f>-MIN($J$5:J12,0)</f>
        <v>426.19</v>
      </c>
      <c r="Q12" s="8">
        <f t="shared" si="11"/>
        <v>24.079999999999927</v>
      </c>
      <c r="R12">
        <v>170</v>
      </c>
      <c r="T12">
        <f>SUM($R$5:R12)</f>
        <v>1360</v>
      </c>
      <c r="U12" s="2">
        <f t="shared" si="12"/>
        <v>-661.11</v>
      </c>
      <c r="V12">
        <f t="shared" si="13"/>
        <v>0</v>
      </c>
      <c r="W12">
        <f t="shared" si="16"/>
        <v>17.449999999999989</v>
      </c>
      <c r="X12" s="2">
        <f>-MIN($U$5:U12,0)</f>
        <v>661.11</v>
      </c>
      <c r="Y12" s="2">
        <f t="shared" si="14"/>
        <v>0</v>
      </c>
    </row>
    <row r="13" spans="1:25" x14ac:dyDescent="0.25">
      <c r="A13" s="1">
        <v>150</v>
      </c>
      <c r="B13" s="1">
        <v>179.18</v>
      </c>
      <c r="C13" s="4">
        <f t="shared" si="4"/>
        <v>53.259999999999991</v>
      </c>
      <c r="D13" s="2">
        <f t="shared" si="15"/>
        <v>24.079999999999984</v>
      </c>
      <c r="E13" s="2">
        <f t="shared" si="5"/>
        <v>203.26</v>
      </c>
      <c r="F13" s="2">
        <f t="shared" si="1"/>
        <v>53.259999999999991</v>
      </c>
      <c r="G13" s="2">
        <f t="shared" si="6"/>
        <v>29.180000000000007</v>
      </c>
      <c r="H13" s="25">
        <f>SUM($A$5:A13)</f>
        <v>1251</v>
      </c>
      <c r="I13" s="25">
        <f>SUM($B$5:B13)</f>
        <v>878.06999999999994</v>
      </c>
      <c r="J13" s="25">
        <f t="shared" si="7"/>
        <v>-372.93000000000006</v>
      </c>
      <c r="K13" s="17">
        <f t="shared" si="8"/>
        <v>372.93000000000006</v>
      </c>
      <c r="L13" s="2">
        <f t="shared" si="9"/>
        <v>1251</v>
      </c>
      <c r="M13" s="2">
        <f t="shared" si="10"/>
        <v>0</v>
      </c>
      <c r="N13" s="19">
        <f t="shared" ref="N13:N20" si="17">C13+H13</f>
        <v>1304.26</v>
      </c>
      <c r="O13" s="19">
        <f t="shared" ref="O13:O20" si="18">N13-I13</f>
        <v>426.19000000000005</v>
      </c>
      <c r="P13" s="25">
        <f>-MIN($J$5:J13,0)</f>
        <v>426.19</v>
      </c>
      <c r="Q13" s="8">
        <f t="shared" si="11"/>
        <v>53.259999999999991</v>
      </c>
      <c r="R13">
        <v>170</v>
      </c>
      <c r="T13">
        <f>SUM($R$5:R13)</f>
        <v>1530</v>
      </c>
      <c r="U13" s="2">
        <f t="shared" si="12"/>
        <v>-651.93000000000006</v>
      </c>
      <c r="V13">
        <f t="shared" si="13"/>
        <v>9.1800000000000068</v>
      </c>
      <c r="W13">
        <f t="shared" si="16"/>
        <v>0</v>
      </c>
      <c r="X13" s="2">
        <f>-MIN($U$5:U13,0)</f>
        <v>661.11</v>
      </c>
      <c r="Y13" s="2">
        <f t="shared" si="14"/>
        <v>9.1799999999998363</v>
      </c>
    </row>
    <row r="14" spans="1:25" x14ac:dyDescent="0.25">
      <c r="A14" s="1">
        <v>60</v>
      </c>
      <c r="B14" s="1">
        <v>35.57</v>
      </c>
      <c r="C14" s="4">
        <f t="shared" si="4"/>
        <v>28.829999999999984</v>
      </c>
      <c r="D14" s="2">
        <f t="shared" si="15"/>
        <v>53.259999999999991</v>
      </c>
      <c r="E14" s="2">
        <f t="shared" si="5"/>
        <v>88.829999999999984</v>
      </c>
      <c r="F14" s="2">
        <f t="shared" si="1"/>
        <v>28.829999999999984</v>
      </c>
      <c r="G14" s="2">
        <f t="shared" si="6"/>
        <v>-24.430000000000007</v>
      </c>
      <c r="H14" s="25">
        <f>SUM($A$5:A14)</f>
        <v>1311</v>
      </c>
      <c r="I14" s="25">
        <f>SUM($B$5:B14)</f>
        <v>913.64</v>
      </c>
      <c r="J14" s="25">
        <f t="shared" si="7"/>
        <v>-397.36</v>
      </c>
      <c r="K14" s="17">
        <f t="shared" si="8"/>
        <v>397.36</v>
      </c>
      <c r="L14" s="2">
        <f t="shared" si="9"/>
        <v>1311</v>
      </c>
      <c r="M14" s="2">
        <f t="shared" si="10"/>
        <v>0</v>
      </c>
      <c r="N14" s="19">
        <f t="shared" si="17"/>
        <v>1339.83</v>
      </c>
      <c r="O14" s="19">
        <f t="shared" si="18"/>
        <v>426.18999999999994</v>
      </c>
      <c r="P14" s="25">
        <f>-MIN($J$5:J14,0)</f>
        <v>426.19</v>
      </c>
      <c r="Q14" s="8">
        <f t="shared" si="11"/>
        <v>28.829999999999927</v>
      </c>
      <c r="R14">
        <v>170</v>
      </c>
      <c r="T14">
        <f>SUM($R$5:R14)</f>
        <v>1700</v>
      </c>
      <c r="U14" s="2">
        <f t="shared" si="12"/>
        <v>-786.36</v>
      </c>
      <c r="V14">
        <f t="shared" si="13"/>
        <v>0</v>
      </c>
      <c r="W14">
        <f t="shared" si="16"/>
        <v>9.1800000000000068</v>
      </c>
      <c r="X14" s="2">
        <f>-MIN($U$5:U14,0)</f>
        <v>786.36</v>
      </c>
      <c r="Y14" s="2">
        <f t="shared" si="14"/>
        <v>0</v>
      </c>
    </row>
    <row r="15" spans="1:25" x14ac:dyDescent="0.25">
      <c r="A15" s="1">
        <v>150</v>
      </c>
      <c r="B15" s="1">
        <v>119.64</v>
      </c>
      <c r="C15" s="27">
        <f t="shared" si="4"/>
        <v>0</v>
      </c>
      <c r="D15" s="2">
        <f t="shared" si="15"/>
        <v>28.829999999999984</v>
      </c>
      <c r="E15" s="2">
        <f t="shared" si="5"/>
        <v>148.46999999999997</v>
      </c>
      <c r="F15" s="2">
        <f t="shared" si="1"/>
        <v>-1.5300000000000296</v>
      </c>
      <c r="G15" s="2">
        <f t="shared" si="6"/>
        <v>-30.360000000000014</v>
      </c>
      <c r="H15" s="25">
        <f>SUM($A$5:A15)</f>
        <v>1461</v>
      </c>
      <c r="I15" s="25">
        <f>SUM($B$5:B15)</f>
        <v>1033.28</v>
      </c>
      <c r="J15" s="25">
        <f t="shared" si="7"/>
        <v>-427.72</v>
      </c>
      <c r="K15" s="17">
        <f t="shared" si="8"/>
        <v>427.72</v>
      </c>
      <c r="L15" s="2">
        <f t="shared" si="9"/>
        <v>1461</v>
      </c>
      <c r="M15" s="2">
        <f t="shared" si="10"/>
        <v>0</v>
      </c>
      <c r="N15" s="19">
        <f t="shared" si="17"/>
        <v>1461</v>
      </c>
      <c r="O15" s="19">
        <f t="shared" si="18"/>
        <v>427.72</v>
      </c>
      <c r="P15" s="25">
        <f>-MIN($J$5:J15,0)</f>
        <v>427.72</v>
      </c>
      <c r="Q15" s="28">
        <f t="shared" si="11"/>
        <v>0</v>
      </c>
      <c r="T15">
        <f>SUM($R$5:R15)</f>
        <v>1700</v>
      </c>
      <c r="U15" s="2">
        <f t="shared" si="12"/>
        <v>-666.72</v>
      </c>
      <c r="V15">
        <f t="shared" si="13"/>
        <v>119.64</v>
      </c>
      <c r="W15">
        <f t="shared" si="16"/>
        <v>0</v>
      </c>
      <c r="X15" s="2">
        <f>-MIN($U$5:U15,0)</f>
        <v>786.36</v>
      </c>
      <c r="Y15" s="2">
        <f t="shared" si="14"/>
        <v>119.63999999999987</v>
      </c>
    </row>
    <row r="16" spans="1:25" x14ac:dyDescent="0.25">
      <c r="A16" s="1"/>
      <c r="B16" s="1">
        <v>54.63</v>
      </c>
      <c r="C16" s="27">
        <f t="shared" si="4"/>
        <v>54.63</v>
      </c>
      <c r="D16" s="2">
        <f t="shared" si="15"/>
        <v>0</v>
      </c>
      <c r="E16" s="2">
        <f t="shared" si="5"/>
        <v>54.63</v>
      </c>
      <c r="F16" s="2">
        <f t="shared" si="1"/>
        <v>54.63</v>
      </c>
      <c r="G16" s="2">
        <f t="shared" si="6"/>
        <v>56.160000000000032</v>
      </c>
      <c r="H16" s="25">
        <f>SUM($A$5:A16)</f>
        <v>1461</v>
      </c>
      <c r="I16" s="25">
        <f>SUM($B$5:B16)</f>
        <v>1087.9100000000001</v>
      </c>
      <c r="J16" s="25">
        <f t="shared" si="7"/>
        <v>-373.08999999999992</v>
      </c>
      <c r="K16" s="17">
        <f t="shared" si="8"/>
        <v>373.08999999999992</v>
      </c>
      <c r="L16" s="2">
        <f t="shared" si="9"/>
        <v>1461</v>
      </c>
      <c r="M16" s="2">
        <f t="shared" si="10"/>
        <v>0</v>
      </c>
      <c r="N16" s="19">
        <f t="shared" si="17"/>
        <v>1515.63</v>
      </c>
      <c r="O16" s="19">
        <f t="shared" si="18"/>
        <v>427.72</v>
      </c>
      <c r="P16" s="25">
        <f>-MIN($J$5:J16,0)</f>
        <v>427.72</v>
      </c>
      <c r="Q16" s="28">
        <f t="shared" si="11"/>
        <v>54.630000000000109</v>
      </c>
      <c r="T16">
        <f>SUM($R$5:R16)</f>
        <v>1700</v>
      </c>
      <c r="U16" s="2">
        <f t="shared" si="12"/>
        <v>-612.08999999999992</v>
      </c>
      <c r="V16">
        <f t="shared" si="13"/>
        <v>174.27</v>
      </c>
      <c r="W16">
        <f t="shared" si="16"/>
        <v>119.64</v>
      </c>
      <c r="X16" s="2">
        <f>-MIN($U$5:U16,0)</f>
        <v>786.36</v>
      </c>
      <c r="Y16" s="2">
        <f t="shared" si="14"/>
        <v>174.26999999999998</v>
      </c>
    </row>
    <row r="17" spans="1:25" x14ac:dyDescent="0.25">
      <c r="A17" s="1"/>
      <c r="B17" s="1">
        <v>29.67</v>
      </c>
      <c r="C17" s="27">
        <f t="shared" si="4"/>
        <v>84.300000000000011</v>
      </c>
      <c r="D17" s="2">
        <f t="shared" si="15"/>
        <v>54.63</v>
      </c>
      <c r="E17" s="2">
        <f t="shared" si="5"/>
        <v>84.300000000000011</v>
      </c>
      <c r="F17" s="2">
        <f t="shared" si="1"/>
        <v>84.300000000000011</v>
      </c>
      <c r="G17" s="2">
        <f t="shared" si="6"/>
        <v>29.670000000000009</v>
      </c>
      <c r="H17" s="25">
        <f>SUM($A$5:A17)</f>
        <v>1461</v>
      </c>
      <c r="I17" s="25">
        <f>SUM($B$5:B17)</f>
        <v>1117.5800000000002</v>
      </c>
      <c r="J17" s="25">
        <f t="shared" si="7"/>
        <v>-343.41999999999985</v>
      </c>
      <c r="K17" s="17">
        <f t="shared" si="8"/>
        <v>343.41999999999985</v>
      </c>
      <c r="L17" s="2">
        <f t="shared" si="9"/>
        <v>1461</v>
      </c>
      <c r="M17" s="2">
        <f t="shared" si="10"/>
        <v>0</v>
      </c>
      <c r="N17" s="19">
        <f t="shared" si="17"/>
        <v>1545.3</v>
      </c>
      <c r="O17" s="19">
        <f t="shared" si="18"/>
        <v>427.7199999999998</v>
      </c>
      <c r="P17" s="25">
        <f>-MIN($J$5:J17,0)</f>
        <v>427.72</v>
      </c>
      <c r="Q17" s="28">
        <f t="shared" si="11"/>
        <v>84.300000000000182</v>
      </c>
      <c r="T17">
        <f>SUM($R$5:R17)</f>
        <v>1700</v>
      </c>
      <c r="U17" s="2">
        <f t="shared" si="12"/>
        <v>-582.41999999999985</v>
      </c>
      <c r="V17">
        <f t="shared" si="13"/>
        <v>203.94</v>
      </c>
      <c r="W17">
        <f t="shared" si="16"/>
        <v>174.27</v>
      </c>
      <c r="X17" s="2">
        <f>-MIN($U$5:U17,0)</f>
        <v>786.36</v>
      </c>
      <c r="Y17" s="2">
        <f t="shared" si="14"/>
        <v>203.94000000000005</v>
      </c>
    </row>
    <row r="18" spans="1:25" x14ac:dyDescent="0.25">
      <c r="A18" s="1"/>
      <c r="B18" s="1">
        <v>42.95</v>
      </c>
      <c r="C18" s="27">
        <f t="shared" si="4"/>
        <v>127.25000000000001</v>
      </c>
      <c r="D18" s="2">
        <f t="shared" si="15"/>
        <v>84.300000000000011</v>
      </c>
      <c r="E18" s="2">
        <f t="shared" si="5"/>
        <v>127.25000000000001</v>
      </c>
      <c r="F18" s="2">
        <f t="shared" si="1"/>
        <v>127.25000000000001</v>
      </c>
      <c r="G18" s="2">
        <f t="shared" si="6"/>
        <v>42.95</v>
      </c>
      <c r="H18" s="25">
        <f>SUM($A$5:A18)</f>
        <v>1461</v>
      </c>
      <c r="I18" s="25">
        <f>SUM($B$5:B18)</f>
        <v>1160.5300000000002</v>
      </c>
      <c r="J18" s="25">
        <f t="shared" si="7"/>
        <v>-300.4699999999998</v>
      </c>
      <c r="K18" s="17">
        <f t="shared" si="8"/>
        <v>300.4699999999998</v>
      </c>
      <c r="L18" s="2">
        <f t="shared" si="9"/>
        <v>1461</v>
      </c>
      <c r="M18" s="2">
        <f t="shared" si="10"/>
        <v>0</v>
      </c>
      <c r="N18" s="19">
        <f t="shared" si="17"/>
        <v>1588.25</v>
      </c>
      <c r="O18" s="19">
        <f t="shared" si="18"/>
        <v>427.7199999999998</v>
      </c>
      <c r="P18" s="25">
        <f>-MIN($J$5:J18,0)</f>
        <v>427.72</v>
      </c>
      <c r="Q18" s="28">
        <f t="shared" si="11"/>
        <v>127.25000000000023</v>
      </c>
      <c r="T18">
        <f>SUM($R$5:R18)</f>
        <v>1700</v>
      </c>
      <c r="U18" s="2">
        <f t="shared" si="12"/>
        <v>-539.4699999999998</v>
      </c>
      <c r="V18">
        <f t="shared" si="13"/>
        <v>246.89</v>
      </c>
      <c r="W18">
        <f t="shared" si="16"/>
        <v>203.94</v>
      </c>
      <c r="X18" s="2">
        <f>-MIN($U$5:U18,0)</f>
        <v>786.36</v>
      </c>
      <c r="Y18" s="2">
        <f t="shared" si="14"/>
        <v>246.89000000000033</v>
      </c>
    </row>
    <row r="19" spans="1:25" x14ac:dyDescent="0.25">
      <c r="A19" s="1"/>
      <c r="B19" s="1">
        <v>19.25</v>
      </c>
      <c r="C19" s="27">
        <f t="shared" si="4"/>
        <v>146.5</v>
      </c>
      <c r="D19" s="2">
        <f t="shared" si="15"/>
        <v>127.25000000000001</v>
      </c>
      <c r="E19" s="2">
        <f t="shared" si="5"/>
        <v>146.5</v>
      </c>
      <c r="F19" s="2">
        <f t="shared" si="1"/>
        <v>146.5</v>
      </c>
      <c r="G19" s="2">
        <f t="shared" si="6"/>
        <v>19.249999999999986</v>
      </c>
      <c r="H19" s="25">
        <f>SUM($A$5:A19)</f>
        <v>1461</v>
      </c>
      <c r="I19" s="25">
        <f>SUM($B$5:B19)</f>
        <v>1179.7800000000002</v>
      </c>
      <c r="J19" s="25">
        <f t="shared" si="7"/>
        <v>-281.2199999999998</v>
      </c>
      <c r="K19" s="17">
        <f t="shared" si="8"/>
        <v>281.2199999999998</v>
      </c>
      <c r="L19" s="2">
        <f t="shared" si="9"/>
        <v>1461</v>
      </c>
      <c r="M19" s="2">
        <f t="shared" si="10"/>
        <v>0</v>
      </c>
      <c r="N19" s="19">
        <f t="shared" si="17"/>
        <v>1607.5</v>
      </c>
      <c r="O19" s="19">
        <f t="shared" si="18"/>
        <v>427.7199999999998</v>
      </c>
      <c r="P19" s="25">
        <f>-MIN($J$5:J19,0)</f>
        <v>427.72</v>
      </c>
      <c r="Q19" s="28">
        <f t="shared" si="11"/>
        <v>146.50000000000023</v>
      </c>
      <c r="T19">
        <f>SUM($R$5:R19)</f>
        <v>1700</v>
      </c>
      <c r="U19" s="2">
        <f t="shared" si="12"/>
        <v>-520.2199999999998</v>
      </c>
      <c r="V19">
        <f t="shared" si="13"/>
        <v>266.14</v>
      </c>
      <c r="W19">
        <f t="shared" si="16"/>
        <v>246.89</v>
      </c>
      <c r="X19" s="2">
        <f>-MIN($U$5:U19,0)</f>
        <v>786.36</v>
      </c>
      <c r="Y19" s="2">
        <f t="shared" si="14"/>
        <v>266.14000000000033</v>
      </c>
    </row>
    <row r="20" spans="1:25" x14ac:dyDescent="0.25">
      <c r="A20" s="1"/>
      <c r="B20" s="1">
        <v>9.6999999999999993</v>
      </c>
      <c r="C20" s="27">
        <f t="shared" si="4"/>
        <v>156.19999999999999</v>
      </c>
      <c r="D20" s="2">
        <f t="shared" si="15"/>
        <v>146.5</v>
      </c>
      <c r="E20" s="2">
        <f t="shared" si="5"/>
        <v>156.19999999999999</v>
      </c>
      <c r="F20" s="2">
        <f t="shared" si="1"/>
        <v>156.19999999999999</v>
      </c>
      <c r="G20" s="2">
        <f t="shared" si="6"/>
        <v>9.6999999999999886</v>
      </c>
      <c r="H20" s="25">
        <f>SUM($A$5:A20)</f>
        <v>1461</v>
      </c>
      <c r="I20" s="25">
        <f>SUM($B$5:B20)</f>
        <v>1189.4800000000002</v>
      </c>
      <c r="J20" s="25">
        <f t="shared" si="7"/>
        <v>-271.51999999999975</v>
      </c>
      <c r="K20" s="17">
        <f t="shared" si="8"/>
        <v>271.51999999999975</v>
      </c>
      <c r="L20" s="2">
        <f t="shared" si="9"/>
        <v>1461</v>
      </c>
      <c r="M20" s="2">
        <f t="shared" si="10"/>
        <v>0</v>
      </c>
      <c r="N20" s="19">
        <f t="shared" si="17"/>
        <v>1617.2</v>
      </c>
      <c r="O20" s="19">
        <f t="shared" si="18"/>
        <v>427.7199999999998</v>
      </c>
      <c r="P20" s="25">
        <f>-MIN($J$5:J20,0)</f>
        <v>427.72</v>
      </c>
      <c r="Q20" s="28">
        <f t="shared" si="11"/>
        <v>156.20000000000027</v>
      </c>
      <c r="T20">
        <f>SUM($R$5:R20)</f>
        <v>1700</v>
      </c>
      <c r="U20" s="2">
        <f t="shared" si="12"/>
        <v>-510.51999999999975</v>
      </c>
      <c r="V20">
        <f t="shared" si="13"/>
        <v>275.83999999999997</v>
      </c>
      <c r="W20">
        <f t="shared" si="16"/>
        <v>266.14</v>
      </c>
      <c r="X20" s="2">
        <f>-MIN($U$5:U20,0)</f>
        <v>786.36</v>
      </c>
      <c r="Y20" s="2">
        <f t="shared" si="14"/>
        <v>275.84000000000015</v>
      </c>
    </row>
    <row r="21" spans="1:25" x14ac:dyDescent="0.25">
      <c r="A21" s="1"/>
      <c r="B21" s="15"/>
      <c r="C21" s="16"/>
      <c r="D21" s="2"/>
      <c r="E21" s="2"/>
      <c r="F21" s="2"/>
      <c r="G21" s="2"/>
      <c r="H21" s="25"/>
      <c r="I21" s="25"/>
      <c r="J21" s="25"/>
      <c r="K21" s="22"/>
      <c r="L21" s="2"/>
      <c r="M21" s="2"/>
      <c r="N21" s="19"/>
      <c r="O21" s="19"/>
      <c r="P21" s="25"/>
      <c r="Q21" s="23"/>
    </row>
    <row r="22" spans="1:25" x14ac:dyDescent="0.25">
      <c r="A22" s="1"/>
      <c r="B22" s="1"/>
      <c r="C22" s="4"/>
      <c r="D22" s="2"/>
      <c r="E22" s="2"/>
      <c r="F22" s="2"/>
      <c r="G22" s="2"/>
      <c r="H22" s="25"/>
      <c r="I22" s="25"/>
      <c r="J22" s="25"/>
      <c r="K22" s="17"/>
      <c r="L22" s="2"/>
      <c r="M22" s="2"/>
      <c r="N22" s="19"/>
      <c r="O22" s="19"/>
      <c r="P22" s="25"/>
      <c r="Q22" s="8"/>
    </row>
    <row r="23" spans="1:25" x14ac:dyDescent="0.25">
      <c r="A23" s="1"/>
      <c r="B23" s="1"/>
      <c r="C23" s="4"/>
      <c r="D23" s="2"/>
      <c r="E23" s="2"/>
      <c r="F23" s="2"/>
      <c r="G23" s="2"/>
      <c r="H23" s="25"/>
      <c r="I23" s="25"/>
      <c r="J23" s="25"/>
      <c r="K23" s="17"/>
      <c r="L23" s="2"/>
      <c r="M23" s="2"/>
      <c r="N23" s="19"/>
      <c r="O23" s="19"/>
      <c r="P23" s="25"/>
      <c r="Q23" s="8"/>
    </row>
    <row r="24" spans="1:25" x14ac:dyDescent="0.25">
      <c r="A24" s="1"/>
      <c r="B24" s="1"/>
      <c r="C24" s="4"/>
      <c r="D24" s="2"/>
      <c r="E24" s="2"/>
      <c r="F24" s="2"/>
      <c r="G24" s="2"/>
      <c r="H24" s="25"/>
      <c r="I24" s="25"/>
      <c r="J24" s="25"/>
      <c r="K24" s="17"/>
      <c r="L24" s="2"/>
      <c r="M24" s="2"/>
      <c r="N24" s="19"/>
      <c r="O24" s="19"/>
      <c r="P24" s="25"/>
      <c r="Q24" s="8"/>
    </row>
    <row r="25" spans="1:25" x14ac:dyDescent="0.25">
      <c r="A25" s="1"/>
      <c r="B25" s="1"/>
      <c r="C25" s="4"/>
      <c r="D25" s="2"/>
      <c r="E25" s="2"/>
      <c r="F25" s="2"/>
      <c r="G25" s="2"/>
      <c r="H25" s="25"/>
      <c r="I25" s="25"/>
      <c r="J25" s="25"/>
      <c r="K25" s="17"/>
      <c r="L25" s="2"/>
      <c r="M25" s="2"/>
      <c r="N25" s="19"/>
      <c r="O25" s="19"/>
      <c r="P25" s="25"/>
      <c r="Q25" s="8"/>
    </row>
    <row r="26" spans="1:25" x14ac:dyDescent="0.25">
      <c r="A26" s="1"/>
      <c r="B26" s="1"/>
      <c r="C26" s="4"/>
      <c r="D26" s="2"/>
      <c r="E26" s="2"/>
      <c r="F26" s="2"/>
      <c r="G26" s="2"/>
      <c r="H26" s="25"/>
      <c r="I26" s="25"/>
      <c r="J26" s="25"/>
      <c r="K26" s="17"/>
      <c r="L26" s="2"/>
      <c r="M26" s="2"/>
      <c r="N26" s="19"/>
      <c r="O26" s="19"/>
      <c r="P26" s="25"/>
      <c r="Q26" s="8"/>
    </row>
    <row r="27" spans="1:25" x14ac:dyDescent="0.25">
      <c r="A27" s="1"/>
      <c r="B27" s="1"/>
      <c r="C27" s="4"/>
      <c r="D27" s="2"/>
      <c r="E27" s="2"/>
      <c r="F27" s="2"/>
      <c r="G27" s="2"/>
      <c r="H27" s="25"/>
      <c r="I27" s="25"/>
      <c r="J27" s="25"/>
      <c r="K27" s="17"/>
      <c r="L27" s="2"/>
      <c r="M27" s="2"/>
      <c r="N27" s="19"/>
      <c r="O27" s="19"/>
      <c r="P27" s="25"/>
      <c r="Q27" s="8"/>
    </row>
    <row r="28" spans="1:25" x14ac:dyDescent="0.25">
      <c r="A28" s="1"/>
      <c r="B28" s="1"/>
      <c r="C28" s="4"/>
      <c r="D28" s="2"/>
      <c r="E28" s="2"/>
      <c r="F28" s="2"/>
      <c r="G28" s="2"/>
      <c r="H28" s="25"/>
      <c r="I28" s="25"/>
      <c r="J28" s="25"/>
      <c r="K28" s="17"/>
      <c r="L28" s="2"/>
      <c r="M28" s="2"/>
      <c r="N28" s="19"/>
      <c r="O28" s="19"/>
      <c r="P28" s="25"/>
      <c r="Q28" s="8"/>
    </row>
    <row r="29" spans="1:25" x14ac:dyDescent="0.25">
      <c r="A29" s="1"/>
      <c r="B29" s="1"/>
      <c r="C29" s="4"/>
      <c r="D29" s="2"/>
      <c r="E29" s="2"/>
      <c r="F29" s="2"/>
      <c r="G29" s="2"/>
      <c r="H29" s="25"/>
      <c r="I29" s="25"/>
      <c r="J29" s="25"/>
      <c r="K29" s="17"/>
      <c r="L29" s="2"/>
      <c r="M29" s="2"/>
      <c r="N29" s="19"/>
      <c r="O29" s="19"/>
      <c r="P29" s="25"/>
      <c r="Q29" s="8"/>
    </row>
    <row r="30" spans="1:25" x14ac:dyDescent="0.25">
      <c r="A30" s="1"/>
      <c r="B30" s="1"/>
      <c r="C30" s="4"/>
      <c r="D30" s="2"/>
      <c r="E30" s="2"/>
      <c r="F30" s="2"/>
      <c r="G30" s="2"/>
      <c r="H30" s="25"/>
      <c r="I30" s="25"/>
      <c r="J30" s="25"/>
      <c r="K30" s="17"/>
      <c r="L30" s="2"/>
      <c r="M30" s="2"/>
      <c r="N30" s="19"/>
      <c r="O30" s="19"/>
      <c r="P30" s="25"/>
      <c r="Q30" s="8"/>
    </row>
    <row r="31" spans="1:25" x14ac:dyDescent="0.25">
      <c r="A31" s="1"/>
      <c r="B31" s="1"/>
      <c r="C31" s="16"/>
      <c r="D31" s="2"/>
      <c r="E31" s="2"/>
      <c r="F31" s="2"/>
      <c r="G31" s="2"/>
      <c r="H31" s="25"/>
      <c r="I31" s="25"/>
      <c r="J31" s="25"/>
      <c r="K31" s="22"/>
      <c r="L31" s="2"/>
      <c r="M31" s="2"/>
      <c r="N31" s="19"/>
      <c r="O31" s="19"/>
      <c r="P31" s="25"/>
      <c r="Q31" s="23"/>
    </row>
    <row r="32" spans="1:25" x14ac:dyDescent="0.25">
      <c r="A32" s="1"/>
      <c r="B32" s="1"/>
      <c r="C32" s="16"/>
      <c r="D32" s="2"/>
      <c r="E32" s="2"/>
      <c r="F32" s="2"/>
      <c r="G32" s="2"/>
      <c r="H32" s="25"/>
      <c r="I32" s="25"/>
      <c r="J32" s="25"/>
      <c r="K32" s="22"/>
      <c r="L32" s="2"/>
      <c r="M32" s="2"/>
      <c r="N32" s="19"/>
      <c r="O32" s="19"/>
      <c r="P32" s="25"/>
      <c r="Q32" s="23"/>
    </row>
    <row r="33" spans="1:17" x14ac:dyDescent="0.25">
      <c r="A33" s="1"/>
      <c r="B33" s="1"/>
      <c r="C33" s="16"/>
      <c r="D33" s="2"/>
      <c r="E33" s="2"/>
      <c r="F33" s="2"/>
      <c r="G33" s="2"/>
      <c r="H33" s="25"/>
      <c r="I33" s="25"/>
      <c r="J33" s="25"/>
      <c r="K33" s="22"/>
      <c r="L33" s="2"/>
      <c r="M33" s="2"/>
      <c r="N33" s="19"/>
      <c r="O33" s="19"/>
      <c r="P33" s="25"/>
      <c r="Q33" s="23"/>
    </row>
    <row r="34" spans="1:17" x14ac:dyDescent="0.25">
      <c r="A34" s="1"/>
      <c r="B34" s="1"/>
      <c r="C34" s="16"/>
      <c r="D34" s="2"/>
      <c r="E34" s="2"/>
      <c r="F34" s="2"/>
      <c r="G34" s="2"/>
      <c r="H34" s="25"/>
      <c r="I34" s="25"/>
      <c r="J34" s="25"/>
      <c r="K34" s="22"/>
      <c r="L34" s="2"/>
      <c r="M34" s="2"/>
      <c r="N34" s="19"/>
      <c r="O34" s="19"/>
      <c r="P34" s="25"/>
      <c r="Q34" s="23"/>
    </row>
  </sheetData>
  <conditionalFormatting sqref="F1:F1048576">
    <cfRule type="cellIs" dxfId="3" priority="2" operator="lessThan">
      <formula>0</formula>
    </cfRule>
  </conditionalFormatting>
  <conditionalFormatting sqref="J1:J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C53B-D02F-4D9B-926E-2AEE4F43D103}">
  <dimension ref="A1:Y34"/>
  <sheetViews>
    <sheetView workbookViewId="0">
      <selection activeCell="B7" sqref="B7"/>
    </sheetView>
  </sheetViews>
  <sheetFormatPr defaultRowHeight="15" x14ac:dyDescent="0.25"/>
  <cols>
    <col min="1" max="1" width="10.28515625" bestFit="1" customWidth="1"/>
    <col min="2" max="4" width="9.5703125" bestFit="1" customWidth="1"/>
    <col min="5" max="6" width="9.5703125" customWidth="1"/>
    <col min="7" max="7" width="15.140625" customWidth="1"/>
    <col min="8" max="8" width="11.42578125" bestFit="1" customWidth="1"/>
    <col min="9" max="9" width="11.5703125" bestFit="1" customWidth="1"/>
    <col min="10" max="10" width="11.7109375" bestFit="1" customWidth="1"/>
    <col min="12" max="12" width="9.5703125" bestFit="1" customWidth="1"/>
    <col min="14" max="14" width="9.5703125" bestFit="1" customWidth="1"/>
    <col min="20" max="20" width="14.7109375" bestFit="1" customWidth="1"/>
    <col min="21" max="21" width="13.42578125" bestFit="1" customWidth="1"/>
    <col min="22" max="22" width="21.42578125" bestFit="1" customWidth="1"/>
    <col min="23" max="23" width="12" customWidth="1"/>
    <col min="25" max="25" width="19" bestFit="1" customWidth="1"/>
  </cols>
  <sheetData>
    <row r="1" spans="1:25" x14ac:dyDescent="0.25">
      <c r="A1" t="s">
        <v>3</v>
      </c>
      <c r="B1" t="s">
        <v>4</v>
      </c>
      <c r="C1" t="s">
        <v>5</v>
      </c>
    </row>
    <row r="2" spans="1:25" x14ac:dyDescent="0.25">
      <c r="A2" t="s">
        <v>2</v>
      </c>
      <c r="B2" t="s">
        <v>0</v>
      </c>
      <c r="C2" t="s">
        <v>1</v>
      </c>
      <c r="R2" t="s">
        <v>15</v>
      </c>
      <c r="T2" t="s">
        <v>16</v>
      </c>
      <c r="U2" t="s">
        <v>17</v>
      </c>
      <c r="V2" t="s">
        <v>20</v>
      </c>
      <c r="X2" t="s">
        <v>18</v>
      </c>
      <c r="Y2" t="s">
        <v>19</v>
      </c>
    </row>
    <row r="3" spans="1:25" x14ac:dyDescent="0.25">
      <c r="A3" t="s">
        <v>9</v>
      </c>
      <c r="E3" s="3" t="s">
        <v>6</v>
      </c>
    </row>
    <row r="4" spans="1:25" x14ac:dyDescent="0.25">
      <c r="A4" s="1">
        <v>0</v>
      </c>
      <c r="B4" s="1">
        <v>0</v>
      </c>
      <c r="C4" s="4">
        <f>IF((B4+C3)&gt;A4,(B4+C3)-A4,0)</f>
        <v>0</v>
      </c>
      <c r="D4" s="2">
        <f>C3</f>
        <v>0</v>
      </c>
      <c r="E4" s="2">
        <f>B4+C3</f>
        <v>0</v>
      </c>
      <c r="F4" s="2">
        <f>E4-A4</f>
        <v>0</v>
      </c>
      <c r="H4" s="24" t="s">
        <v>10</v>
      </c>
      <c r="I4" s="24" t="s">
        <v>11</v>
      </c>
      <c r="J4" s="24" t="s">
        <v>12</v>
      </c>
      <c r="P4" s="24" t="s">
        <v>13</v>
      </c>
      <c r="V4">
        <f>IF((B4+C3)&gt;T4,(B4+C3)-T4,0)</f>
        <v>0</v>
      </c>
      <c r="W4">
        <f>V3</f>
        <v>0</v>
      </c>
    </row>
    <row r="5" spans="1:25" x14ac:dyDescent="0.25">
      <c r="A5" s="1">
        <v>136</v>
      </c>
      <c r="B5" s="1">
        <v>0</v>
      </c>
      <c r="C5" s="4">
        <f>IF((B5+D5)&gt;A5,(B5+D5)-A5,0)</f>
        <v>0</v>
      </c>
      <c r="D5" s="2">
        <f t="shared" ref="D5" si="0">C4</f>
        <v>0</v>
      </c>
      <c r="E5" s="2">
        <f>B5+D5</f>
        <v>0</v>
      </c>
      <c r="F5" s="2">
        <f t="shared" ref="F5:F20" si="1">E5-A5</f>
        <v>-136</v>
      </c>
      <c r="G5" s="2">
        <f>F5-F4</f>
        <v>-136</v>
      </c>
      <c r="H5" s="25">
        <f>SUM($A$5:A5)</f>
        <v>136</v>
      </c>
      <c r="I5" s="25">
        <f>SUM($B$5:B5)</f>
        <v>0</v>
      </c>
      <c r="J5" s="25">
        <f>I5-H5</f>
        <v>-136</v>
      </c>
      <c r="K5" s="17">
        <f>IF(J5&lt;0,-J5,0)</f>
        <v>136</v>
      </c>
      <c r="L5" s="2">
        <f>I5+K5</f>
        <v>136</v>
      </c>
      <c r="M5" s="2">
        <f>L5-H5</f>
        <v>0</v>
      </c>
      <c r="N5" s="19">
        <f t="shared" ref="N5:N11" si="2">C5+H5</f>
        <v>136</v>
      </c>
      <c r="O5" s="19">
        <f t="shared" ref="O5:O11" si="3">N5-I5</f>
        <v>136</v>
      </c>
      <c r="P5" s="25">
        <f>-MIN($J$5:J5,0)</f>
        <v>136</v>
      </c>
      <c r="Q5" s="8">
        <f>SUM(I5,P5)-H5</f>
        <v>0</v>
      </c>
      <c r="R5">
        <v>170</v>
      </c>
      <c r="T5">
        <f>SUM($R$5:R5)</f>
        <v>170</v>
      </c>
      <c r="U5" s="2">
        <f>I5-T5</f>
        <v>-170</v>
      </c>
      <c r="V5">
        <f>IF((B5+W5)&gt;R5,(B5+W5)-R5,0)</f>
        <v>0</v>
      </c>
      <c r="W5">
        <f>V4</f>
        <v>0</v>
      </c>
      <c r="X5" s="2">
        <f>-MIN($U$5:U5,0)</f>
        <v>170</v>
      </c>
      <c r="Y5" s="2">
        <f>SUM(I5,X5)-T5</f>
        <v>0</v>
      </c>
    </row>
    <row r="6" spans="1:25" x14ac:dyDescent="0.25">
      <c r="A6" s="1">
        <v>136</v>
      </c>
      <c r="B6" s="1">
        <v>0.02</v>
      </c>
      <c r="C6" s="4">
        <f t="shared" ref="C6:C20" si="4">IF((B6+D6)&gt;A6,(B6+D6)-A6,0)</f>
        <v>0</v>
      </c>
      <c r="D6" s="2">
        <f>IF((B5+D5)&gt;A5,(B5+D5)-A5,0)</f>
        <v>0</v>
      </c>
      <c r="E6" s="2">
        <f t="shared" ref="E6:E20" si="5">B6+D6</f>
        <v>0.02</v>
      </c>
      <c r="F6" s="2">
        <f t="shared" si="1"/>
        <v>-135.97999999999999</v>
      </c>
      <c r="G6" s="2">
        <f t="shared" ref="G6:G20" si="6">F6-F5</f>
        <v>2.0000000000010232E-2</v>
      </c>
      <c r="H6" s="25">
        <f>SUM($A$5:A6)</f>
        <v>272</v>
      </c>
      <c r="I6" s="25">
        <f>SUM($B$5:B6)</f>
        <v>0.02</v>
      </c>
      <c r="J6" s="25">
        <f t="shared" ref="J6:J20" si="7">I6-H6</f>
        <v>-271.98</v>
      </c>
      <c r="K6" s="17">
        <f t="shared" ref="K6:K20" si="8">IF(J6&lt;0,-J6,0)</f>
        <v>271.98</v>
      </c>
      <c r="L6" s="2">
        <f t="shared" ref="L6:L20" si="9">I6+K6</f>
        <v>272</v>
      </c>
      <c r="M6" s="2">
        <f t="shared" ref="M6:M20" si="10">L6-H6</f>
        <v>0</v>
      </c>
      <c r="N6" s="19">
        <f t="shared" si="2"/>
        <v>272</v>
      </c>
      <c r="O6" s="19">
        <f t="shared" si="3"/>
        <v>271.98</v>
      </c>
      <c r="P6" s="25">
        <f>-MIN($J$5:J6,0)</f>
        <v>271.98</v>
      </c>
      <c r="Q6" s="8">
        <f t="shared" ref="Q6:Q20" si="11">SUM(I6,P6)-H6</f>
        <v>0</v>
      </c>
      <c r="R6">
        <v>170</v>
      </c>
      <c r="T6">
        <f>SUM($R$5:R6)</f>
        <v>340</v>
      </c>
      <c r="U6" s="2">
        <f t="shared" ref="U6:U20" si="12">I6-T6</f>
        <v>-339.98</v>
      </c>
      <c r="V6">
        <f t="shared" ref="V6:V20" si="13">IF((B6+W6)&gt;R6,(B6+W6)-R6,0)</f>
        <v>0</v>
      </c>
      <c r="W6">
        <f>IF((B5+W5)&gt;R5,(B5+W5)-R5,0)</f>
        <v>0</v>
      </c>
      <c r="X6" s="2">
        <f>-MIN($U$5:U6,0)</f>
        <v>339.98</v>
      </c>
      <c r="Y6" s="2">
        <f t="shared" ref="Y6:Y20" si="14">SUM(I6,X6)-T6</f>
        <v>0</v>
      </c>
    </row>
    <row r="7" spans="1:25" x14ac:dyDescent="0.25">
      <c r="A7" s="1">
        <v>136</v>
      </c>
      <c r="B7" s="1">
        <v>85.4</v>
      </c>
      <c r="C7" s="4">
        <f t="shared" si="4"/>
        <v>0</v>
      </c>
      <c r="D7" s="2">
        <f t="shared" ref="D7:D20" si="15">IF((B6+D6)&gt;A6,(B6+D6)-A6,0)</f>
        <v>0</v>
      </c>
      <c r="E7" s="2">
        <f t="shared" si="5"/>
        <v>85.4</v>
      </c>
      <c r="F7" s="2">
        <f t="shared" si="1"/>
        <v>-50.599999999999994</v>
      </c>
      <c r="G7" s="2">
        <f t="shared" si="6"/>
        <v>85.38</v>
      </c>
      <c r="H7" s="25">
        <f>SUM($A$5:A7)</f>
        <v>408</v>
      </c>
      <c r="I7" s="25">
        <f>SUM($B$5:B7)</f>
        <v>85.42</v>
      </c>
      <c r="J7" s="25">
        <f t="shared" si="7"/>
        <v>-322.58</v>
      </c>
      <c r="K7" s="17">
        <f t="shared" si="8"/>
        <v>322.58</v>
      </c>
      <c r="L7" s="2">
        <f t="shared" si="9"/>
        <v>408</v>
      </c>
      <c r="M7" s="2">
        <f t="shared" si="10"/>
        <v>0</v>
      </c>
      <c r="N7" s="19">
        <f t="shared" si="2"/>
        <v>408</v>
      </c>
      <c r="O7" s="19">
        <f t="shared" si="3"/>
        <v>322.58</v>
      </c>
      <c r="P7" s="25">
        <f>-MIN($J$5:J7,0)</f>
        <v>322.58</v>
      </c>
      <c r="Q7" s="8">
        <f t="shared" si="11"/>
        <v>0</v>
      </c>
      <c r="R7">
        <v>170</v>
      </c>
      <c r="T7">
        <f>SUM($R$5:R7)</f>
        <v>510</v>
      </c>
      <c r="U7" s="2">
        <f t="shared" si="12"/>
        <v>-424.58</v>
      </c>
      <c r="V7">
        <f t="shared" si="13"/>
        <v>0</v>
      </c>
      <c r="W7">
        <f t="shared" ref="W7:W20" si="16">IF((B6+W6)&gt;R6,(B6+W6)-R6,0)</f>
        <v>0</v>
      </c>
      <c r="X7" s="2">
        <f>-MIN($U$5:U7,0)</f>
        <v>424.58</v>
      </c>
      <c r="Y7" s="2">
        <f t="shared" si="14"/>
        <v>0</v>
      </c>
    </row>
    <row r="8" spans="1:25" x14ac:dyDescent="0.25">
      <c r="A8" s="1">
        <v>143</v>
      </c>
      <c r="B8" s="1">
        <v>49.95</v>
      </c>
      <c r="C8" s="16">
        <f t="shared" si="4"/>
        <v>0</v>
      </c>
      <c r="D8" s="2">
        <f t="shared" si="15"/>
        <v>0</v>
      </c>
      <c r="E8" s="2">
        <f t="shared" si="5"/>
        <v>49.95</v>
      </c>
      <c r="F8" s="2">
        <f t="shared" si="1"/>
        <v>-93.05</v>
      </c>
      <c r="G8" s="2">
        <f t="shared" si="6"/>
        <v>-42.45</v>
      </c>
      <c r="H8" s="25">
        <f>SUM($A$5:A8)</f>
        <v>551</v>
      </c>
      <c r="I8" s="25">
        <f>SUM($B$5:B8)</f>
        <v>135.37</v>
      </c>
      <c r="J8" s="25">
        <f t="shared" si="7"/>
        <v>-415.63</v>
      </c>
      <c r="K8" s="17">
        <f t="shared" si="8"/>
        <v>415.63</v>
      </c>
      <c r="L8" s="2">
        <f t="shared" si="9"/>
        <v>551</v>
      </c>
      <c r="M8" s="2">
        <f t="shared" si="10"/>
        <v>0</v>
      </c>
      <c r="N8" s="19">
        <f t="shared" si="2"/>
        <v>551</v>
      </c>
      <c r="O8" s="19">
        <f t="shared" si="3"/>
        <v>415.63</v>
      </c>
      <c r="P8" s="25">
        <f>-MIN($J$5:J8,0)</f>
        <v>415.63</v>
      </c>
      <c r="Q8" s="23">
        <f t="shared" si="11"/>
        <v>0</v>
      </c>
      <c r="R8">
        <v>170</v>
      </c>
      <c r="T8">
        <f>SUM($R$5:R8)</f>
        <v>680</v>
      </c>
      <c r="U8" s="2">
        <f t="shared" si="12"/>
        <v>-544.63</v>
      </c>
      <c r="V8">
        <f t="shared" si="13"/>
        <v>0</v>
      </c>
      <c r="W8">
        <f t="shared" si="16"/>
        <v>0</v>
      </c>
      <c r="X8" s="2">
        <f>-MIN($U$5:U8,0)</f>
        <v>544.63</v>
      </c>
      <c r="Y8" s="2">
        <f t="shared" si="14"/>
        <v>0</v>
      </c>
    </row>
    <row r="9" spans="1:25" s="10" customFormat="1" x14ac:dyDescent="0.25">
      <c r="A9" s="26">
        <v>114</v>
      </c>
      <c r="B9" s="26">
        <v>105.3</v>
      </c>
      <c r="C9" s="4">
        <f t="shared" si="4"/>
        <v>0</v>
      </c>
      <c r="D9" s="2">
        <f t="shared" si="15"/>
        <v>0</v>
      </c>
      <c r="E9" s="2">
        <f t="shared" si="5"/>
        <v>105.3</v>
      </c>
      <c r="F9" s="2">
        <f t="shared" si="1"/>
        <v>-8.7000000000000028</v>
      </c>
      <c r="G9" s="2">
        <f t="shared" si="6"/>
        <v>84.35</v>
      </c>
      <c r="H9" s="25">
        <f>SUM($A$5:A9)</f>
        <v>665</v>
      </c>
      <c r="I9" s="25">
        <f>SUM($B$5:B9)</f>
        <v>240.67000000000002</v>
      </c>
      <c r="J9" s="25">
        <f t="shared" si="7"/>
        <v>-424.33</v>
      </c>
      <c r="K9" s="22">
        <f t="shared" si="8"/>
        <v>424.33</v>
      </c>
      <c r="L9" s="2">
        <f t="shared" si="9"/>
        <v>665</v>
      </c>
      <c r="M9" s="2">
        <f t="shared" si="10"/>
        <v>0</v>
      </c>
      <c r="N9" s="19">
        <f t="shared" si="2"/>
        <v>665</v>
      </c>
      <c r="O9" s="19">
        <f t="shared" si="3"/>
        <v>424.33</v>
      </c>
      <c r="P9" s="25">
        <f>-MIN($J$5:J9,0)</f>
        <v>424.33</v>
      </c>
      <c r="Q9" s="8">
        <f t="shared" si="11"/>
        <v>0</v>
      </c>
      <c r="R9">
        <v>170</v>
      </c>
      <c r="T9">
        <f>SUM($R$5:R9)</f>
        <v>850</v>
      </c>
      <c r="U9" s="2">
        <f t="shared" si="12"/>
        <v>-609.32999999999993</v>
      </c>
      <c r="V9">
        <f t="shared" si="13"/>
        <v>0</v>
      </c>
      <c r="W9">
        <f t="shared" si="16"/>
        <v>0</v>
      </c>
      <c r="X9" s="2">
        <f>-MIN($U$5:U9,0)</f>
        <v>609.32999999999993</v>
      </c>
      <c r="Y9" s="2">
        <f t="shared" si="14"/>
        <v>0</v>
      </c>
    </row>
    <row r="10" spans="1:25" s="10" customFormat="1" x14ac:dyDescent="0.25">
      <c r="A10" s="26">
        <v>143</v>
      </c>
      <c r="B10" s="26">
        <v>139.61000000000001</v>
      </c>
      <c r="C10" s="4">
        <f t="shared" si="4"/>
        <v>0</v>
      </c>
      <c r="D10" s="2">
        <f t="shared" si="15"/>
        <v>0</v>
      </c>
      <c r="E10" s="2">
        <f t="shared" si="5"/>
        <v>139.61000000000001</v>
      </c>
      <c r="F10" s="2">
        <f t="shared" si="1"/>
        <v>-3.3899999999999864</v>
      </c>
      <c r="G10" s="2">
        <f t="shared" si="6"/>
        <v>5.3100000000000165</v>
      </c>
      <c r="H10" s="25">
        <f>SUM($A$5:A10)</f>
        <v>808</v>
      </c>
      <c r="I10" s="25">
        <f>SUM($B$5:B10)</f>
        <v>380.28000000000003</v>
      </c>
      <c r="J10" s="25">
        <f t="shared" si="7"/>
        <v>-427.71999999999997</v>
      </c>
      <c r="K10" s="22">
        <f t="shared" si="8"/>
        <v>427.71999999999997</v>
      </c>
      <c r="L10" s="2">
        <f t="shared" si="9"/>
        <v>808</v>
      </c>
      <c r="M10" s="2">
        <f t="shared" si="10"/>
        <v>0</v>
      </c>
      <c r="N10" s="19">
        <f t="shared" si="2"/>
        <v>808</v>
      </c>
      <c r="O10" s="19">
        <f t="shared" si="3"/>
        <v>427.71999999999997</v>
      </c>
      <c r="P10" s="25">
        <f>-MIN($J$5:J10,0)</f>
        <v>427.71999999999997</v>
      </c>
      <c r="Q10" s="8">
        <f t="shared" si="11"/>
        <v>0</v>
      </c>
      <c r="R10">
        <v>170</v>
      </c>
      <c r="T10">
        <f>SUM($R$5:R10)</f>
        <v>1020</v>
      </c>
      <c r="U10" s="2">
        <f t="shared" si="12"/>
        <v>-639.72</v>
      </c>
      <c r="V10">
        <f t="shared" si="13"/>
        <v>0</v>
      </c>
      <c r="W10">
        <f t="shared" si="16"/>
        <v>0</v>
      </c>
      <c r="X10" s="2">
        <f>-MIN($U$5:U10,0)</f>
        <v>639.72</v>
      </c>
      <c r="Y10" s="2">
        <f t="shared" si="14"/>
        <v>0</v>
      </c>
    </row>
    <row r="11" spans="1:25" s="14" customFormat="1" x14ac:dyDescent="0.25">
      <c r="A11" s="26">
        <v>143</v>
      </c>
      <c r="B11" s="26">
        <v>187.45</v>
      </c>
      <c r="C11" s="4">
        <f t="shared" si="4"/>
        <v>44.449999999999989</v>
      </c>
      <c r="D11" s="2">
        <f t="shared" si="15"/>
        <v>0</v>
      </c>
      <c r="E11" s="2">
        <f t="shared" si="5"/>
        <v>187.45</v>
      </c>
      <c r="F11" s="2">
        <f t="shared" si="1"/>
        <v>44.449999999999989</v>
      </c>
      <c r="G11" s="2">
        <f t="shared" si="6"/>
        <v>47.839999999999975</v>
      </c>
      <c r="H11" s="25">
        <f>SUM($A$5:A11)</f>
        <v>951</v>
      </c>
      <c r="I11" s="25">
        <f>SUM($B$5:B11)</f>
        <v>567.73</v>
      </c>
      <c r="J11" s="25">
        <f t="shared" si="7"/>
        <v>-383.27</v>
      </c>
      <c r="K11" s="22">
        <f t="shared" si="8"/>
        <v>383.27</v>
      </c>
      <c r="L11" s="2">
        <f t="shared" si="9"/>
        <v>951</v>
      </c>
      <c r="M11" s="2">
        <f t="shared" si="10"/>
        <v>0</v>
      </c>
      <c r="N11" s="19">
        <f t="shared" si="2"/>
        <v>995.45</v>
      </c>
      <c r="O11" s="19">
        <f t="shared" si="3"/>
        <v>427.72</v>
      </c>
      <c r="P11" s="25">
        <f>-MIN($J$5:J11,0)</f>
        <v>427.71999999999997</v>
      </c>
      <c r="Q11" s="8">
        <f t="shared" si="11"/>
        <v>44.450000000000045</v>
      </c>
      <c r="R11">
        <v>170</v>
      </c>
      <c r="T11">
        <f>SUM($R$5:R11)</f>
        <v>1190</v>
      </c>
      <c r="U11" s="2">
        <f t="shared" si="12"/>
        <v>-622.27</v>
      </c>
      <c r="V11">
        <f t="shared" si="13"/>
        <v>17.449999999999989</v>
      </c>
      <c r="W11">
        <f t="shared" si="16"/>
        <v>0</v>
      </c>
      <c r="X11" s="2">
        <f>-MIN($U$5:U11,0)</f>
        <v>639.72</v>
      </c>
      <c r="Y11" s="2">
        <f t="shared" si="14"/>
        <v>17.450000000000045</v>
      </c>
    </row>
    <row r="12" spans="1:25" s="21" customFormat="1" x14ac:dyDescent="0.25">
      <c r="A12" s="18">
        <v>150</v>
      </c>
      <c r="B12" s="18">
        <v>129.63</v>
      </c>
      <c r="C12" s="18">
        <f t="shared" si="4"/>
        <v>24.079999999999984</v>
      </c>
      <c r="D12" s="19">
        <f t="shared" si="15"/>
        <v>44.449999999999989</v>
      </c>
      <c r="E12" s="19">
        <f t="shared" si="5"/>
        <v>174.07999999999998</v>
      </c>
      <c r="F12" s="19">
        <f t="shared" si="1"/>
        <v>24.079999999999984</v>
      </c>
      <c r="G12" s="19">
        <f t="shared" si="6"/>
        <v>-20.370000000000005</v>
      </c>
      <c r="H12" s="25">
        <f>SUM($A$5:A12)</f>
        <v>1101</v>
      </c>
      <c r="I12" s="25">
        <f>SUM($B$5:B12)</f>
        <v>697.36</v>
      </c>
      <c r="J12" s="25">
        <f t="shared" si="7"/>
        <v>-403.64</v>
      </c>
      <c r="K12" s="20">
        <f t="shared" si="8"/>
        <v>403.64</v>
      </c>
      <c r="L12" s="19">
        <f t="shared" si="9"/>
        <v>1101</v>
      </c>
      <c r="M12" s="19">
        <f t="shared" si="10"/>
        <v>0</v>
      </c>
      <c r="N12" s="19">
        <f>C12+H12</f>
        <v>1125.08</v>
      </c>
      <c r="O12" s="19">
        <f>N12-I12</f>
        <v>427.71999999999991</v>
      </c>
      <c r="P12" s="25">
        <f>-MIN($J$5:J12,0)</f>
        <v>427.71999999999997</v>
      </c>
      <c r="Q12" s="8">
        <f t="shared" si="11"/>
        <v>24.079999999999927</v>
      </c>
      <c r="R12">
        <v>170</v>
      </c>
      <c r="T12">
        <f>SUM($R$5:R12)</f>
        <v>1360</v>
      </c>
      <c r="U12" s="2">
        <f t="shared" si="12"/>
        <v>-662.64</v>
      </c>
      <c r="V12">
        <f t="shared" si="13"/>
        <v>0</v>
      </c>
      <c r="W12">
        <f t="shared" si="16"/>
        <v>17.449999999999989</v>
      </c>
      <c r="X12" s="2">
        <f>-MIN($U$5:U12,0)</f>
        <v>662.64</v>
      </c>
      <c r="Y12" s="2">
        <f t="shared" si="14"/>
        <v>0</v>
      </c>
    </row>
    <row r="13" spans="1:25" x14ac:dyDescent="0.25">
      <c r="A13" s="1">
        <v>150</v>
      </c>
      <c r="B13" s="1">
        <v>179.18</v>
      </c>
      <c r="C13" s="4">
        <f t="shared" si="4"/>
        <v>53.259999999999991</v>
      </c>
      <c r="D13" s="2">
        <f t="shared" si="15"/>
        <v>24.079999999999984</v>
      </c>
      <c r="E13" s="2">
        <f t="shared" si="5"/>
        <v>203.26</v>
      </c>
      <c r="F13" s="2">
        <f t="shared" si="1"/>
        <v>53.259999999999991</v>
      </c>
      <c r="G13" s="2">
        <f t="shared" si="6"/>
        <v>29.180000000000007</v>
      </c>
      <c r="H13" s="25">
        <f>SUM($A$5:A13)</f>
        <v>1251</v>
      </c>
      <c r="I13" s="25">
        <f>SUM($B$5:B13)</f>
        <v>876.54</v>
      </c>
      <c r="J13" s="25">
        <f t="shared" si="7"/>
        <v>-374.46000000000004</v>
      </c>
      <c r="K13" s="17">
        <f t="shared" si="8"/>
        <v>374.46000000000004</v>
      </c>
      <c r="L13" s="2">
        <f t="shared" si="9"/>
        <v>1251</v>
      </c>
      <c r="M13" s="2">
        <f t="shared" si="10"/>
        <v>0</v>
      </c>
      <c r="N13" s="19">
        <f t="shared" ref="N13:N20" si="17">C13+H13</f>
        <v>1304.26</v>
      </c>
      <c r="O13" s="19">
        <f t="shared" ref="O13:O20" si="18">N13-I13</f>
        <v>427.72</v>
      </c>
      <c r="P13" s="25">
        <f>-MIN($J$5:J13,0)</f>
        <v>427.71999999999997</v>
      </c>
      <c r="Q13" s="8">
        <f t="shared" si="11"/>
        <v>53.259999999999991</v>
      </c>
      <c r="R13">
        <v>170</v>
      </c>
      <c r="T13">
        <f>SUM($R$5:R13)</f>
        <v>1530</v>
      </c>
      <c r="U13" s="2">
        <f t="shared" si="12"/>
        <v>-653.46</v>
      </c>
      <c r="V13">
        <f t="shared" si="13"/>
        <v>9.1800000000000068</v>
      </c>
      <c r="W13">
        <f t="shared" si="16"/>
        <v>0</v>
      </c>
      <c r="X13" s="2">
        <f>-MIN($U$5:U13,0)</f>
        <v>662.64</v>
      </c>
      <c r="Y13" s="2">
        <f t="shared" si="14"/>
        <v>9.1799999999998363</v>
      </c>
    </row>
    <row r="14" spans="1:25" x14ac:dyDescent="0.25">
      <c r="A14" s="1">
        <v>60</v>
      </c>
      <c r="B14" s="1">
        <v>35.57</v>
      </c>
      <c r="C14" s="4">
        <f t="shared" si="4"/>
        <v>28.829999999999984</v>
      </c>
      <c r="D14" s="2">
        <f t="shared" si="15"/>
        <v>53.259999999999991</v>
      </c>
      <c r="E14" s="2">
        <f t="shared" si="5"/>
        <v>88.829999999999984</v>
      </c>
      <c r="F14" s="2">
        <f t="shared" si="1"/>
        <v>28.829999999999984</v>
      </c>
      <c r="G14" s="2">
        <f t="shared" si="6"/>
        <v>-24.430000000000007</v>
      </c>
      <c r="H14" s="25">
        <f>SUM($A$5:A14)</f>
        <v>1311</v>
      </c>
      <c r="I14" s="25">
        <f>SUM($B$5:B14)</f>
        <v>912.11</v>
      </c>
      <c r="J14" s="25">
        <f t="shared" si="7"/>
        <v>-398.89</v>
      </c>
      <c r="K14" s="17">
        <f t="shared" si="8"/>
        <v>398.89</v>
      </c>
      <c r="L14" s="2">
        <f t="shared" si="9"/>
        <v>1311</v>
      </c>
      <c r="M14" s="2">
        <f t="shared" si="10"/>
        <v>0</v>
      </c>
      <c r="N14" s="19">
        <f t="shared" si="17"/>
        <v>1339.83</v>
      </c>
      <c r="O14" s="19">
        <f t="shared" si="18"/>
        <v>427.71999999999991</v>
      </c>
      <c r="P14" s="25">
        <f>-MIN($J$5:J14,0)</f>
        <v>427.71999999999997</v>
      </c>
      <c r="Q14" s="8">
        <f t="shared" si="11"/>
        <v>28.829999999999927</v>
      </c>
      <c r="R14">
        <v>170</v>
      </c>
      <c r="T14">
        <f>SUM($R$5:R14)</f>
        <v>1700</v>
      </c>
      <c r="U14" s="2">
        <f t="shared" si="12"/>
        <v>-787.89</v>
      </c>
      <c r="V14">
        <f t="shared" si="13"/>
        <v>0</v>
      </c>
      <c r="W14">
        <f t="shared" si="16"/>
        <v>9.1800000000000068</v>
      </c>
      <c r="X14" s="2">
        <f>-MIN($U$5:U14,0)</f>
        <v>787.89</v>
      </c>
      <c r="Y14" s="2">
        <f t="shared" si="14"/>
        <v>0</v>
      </c>
    </row>
    <row r="15" spans="1:25" x14ac:dyDescent="0.25">
      <c r="A15" s="1">
        <v>150</v>
      </c>
      <c r="B15" s="1">
        <v>119.64</v>
      </c>
      <c r="C15" s="27">
        <f t="shared" si="4"/>
        <v>0</v>
      </c>
      <c r="D15" s="2">
        <f t="shared" si="15"/>
        <v>28.829999999999984</v>
      </c>
      <c r="E15" s="2">
        <f t="shared" si="5"/>
        <v>148.46999999999997</v>
      </c>
      <c r="F15" s="2">
        <f t="shared" si="1"/>
        <v>-1.5300000000000296</v>
      </c>
      <c r="G15" s="2">
        <f t="shared" si="6"/>
        <v>-30.360000000000014</v>
      </c>
      <c r="H15" s="25">
        <f>SUM($A$5:A15)</f>
        <v>1461</v>
      </c>
      <c r="I15" s="25">
        <f>SUM($B$5:B15)</f>
        <v>1031.75</v>
      </c>
      <c r="J15" s="25">
        <f t="shared" si="7"/>
        <v>-429.25</v>
      </c>
      <c r="K15" s="17">
        <f t="shared" si="8"/>
        <v>429.25</v>
      </c>
      <c r="L15" s="2">
        <f t="shared" si="9"/>
        <v>1461</v>
      </c>
      <c r="M15" s="2">
        <f t="shared" si="10"/>
        <v>0</v>
      </c>
      <c r="N15" s="19">
        <f t="shared" si="17"/>
        <v>1461</v>
      </c>
      <c r="O15" s="19">
        <f t="shared" si="18"/>
        <v>429.25</v>
      </c>
      <c r="P15" s="25">
        <f>-MIN($J$5:J15,0)</f>
        <v>429.25</v>
      </c>
      <c r="Q15" s="28">
        <f t="shared" si="11"/>
        <v>0</v>
      </c>
      <c r="T15">
        <f>SUM($R$5:R15)</f>
        <v>1700</v>
      </c>
      <c r="U15" s="2">
        <f t="shared" si="12"/>
        <v>-668.25</v>
      </c>
      <c r="V15">
        <f t="shared" si="13"/>
        <v>119.64</v>
      </c>
      <c r="W15">
        <f t="shared" si="16"/>
        <v>0</v>
      </c>
      <c r="X15" s="2">
        <f>-MIN($U$5:U15,0)</f>
        <v>787.89</v>
      </c>
      <c r="Y15" s="2">
        <f t="shared" si="14"/>
        <v>119.63999999999987</v>
      </c>
    </row>
    <row r="16" spans="1:25" x14ac:dyDescent="0.25">
      <c r="A16" s="1"/>
      <c r="B16" s="1">
        <v>54.63</v>
      </c>
      <c r="C16" s="27">
        <f t="shared" si="4"/>
        <v>54.63</v>
      </c>
      <c r="D16" s="2">
        <f t="shared" si="15"/>
        <v>0</v>
      </c>
      <c r="E16" s="2">
        <f t="shared" si="5"/>
        <v>54.63</v>
      </c>
      <c r="F16" s="2">
        <f t="shared" si="1"/>
        <v>54.63</v>
      </c>
      <c r="G16" s="2">
        <f t="shared" si="6"/>
        <v>56.160000000000032</v>
      </c>
      <c r="H16" s="25">
        <f>SUM($A$5:A16)</f>
        <v>1461</v>
      </c>
      <c r="I16" s="25">
        <f>SUM($B$5:B16)</f>
        <v>1086.3800000000001</v>
      </c>
      <c r="J16" s="25">
        <f t="shared" si="7"/>
        <v>-374.61999999999989</v>
      </c>
      <c r="K16" s="17">
        <f t="shared" si="8"/>
        <v>374.61999999999989</v>
      </c>
      <c r="L16" s="2">
        <f t="shared" si="9"/>
        <v>1461</v>
      </c>
      <c r="M16" s="2">
        <f t="shared" si="10"/>
        <v>0</v>
      </c>
      <c r="N16" s="19">
        <f t="shared" si="17"/>
        <v>1515.63</v>
      </c>
      <c r="O16" s="19">
        <f t="shared" si="18"/>
        <v>429.25</v>
      </c>
      <c r="P16" s="25">
        <f>-MIN($J$5:J16,0)</f>
        <v>429.25</v>
      </c>
      <c r="Q16" s="28">
        <f t="shared" si="11"/>
        <v>54.630000000000109</v>
      </c>
      <c r="T16">
        <f>SUM($R$5:R16)</f>
        <v>1700</v>
      </c>
      <c r="U16" s="2">
        <f t="shared" si="12"/>
        <v>-613.61999999999989</v>
      </c>
      <c r="V16">
        <f t="shared" si="13"/>
        <v>174.27</v>
      </c>
      <c r="W16">
        <f t="shared" si="16"/>
        <v>119.64</v>
      </c>
      <c r="X16" s="2">
        <f>-MIN($U$5:U16,0)</f>
        <v>787.89</v>
      </c>
      <c r="Y16" s="2">
        <f t="shared" si="14"/>
        <v>174.26999999999998</v>
      </c>
    </row>
    <row r="17" spans="1:25" x14ac:dyDescent="0.25">
      <c r="A17" s="1"/>
      <c r="B17" s="1">
        <v>29.67</v>
      </c>
      <c r="C17" s="27">
        <f t="shared" si="4"/>
        <v>84.300000000000011</v>
      </c>
      <c r="D17" s="2">
        <f t="shared" si="15"/>
        <v>54.63</v>
      </c>
      <c r="E17" s="2">
        <f t="shared" si="5"/>
        <v>84.300000000000011</v>
      </c>
      <c r="F17" s="2">
        <f t="shared" si="1"/>
        <v>84.300000000000011</v>
      </c>
      <c r="G17" s="2">
        <f t="shared" si="6"/>
        <v>29.670000000000009</v>
      </c>
      <c r="H17" s="25">
        <f>SUM($A$5:A17)</f>
        <v>1461</v>
      </c>
      <c r="I17" s="25">
        <f>SUM($B$5:B17)</f>
        <v>1116.0500000000002</v>
      </c>
      <c r="J17" s="25">
        <f t="shared" si="7"/>
        <v>-344.94999999999982</v>
      </c>
      <c r="K17" s="17">
        <f t="shared" si="8"/>
        <v>344.94999999999982</v>
      </c>
      <c r="L17" s="2">
        <f t="shared" si="9"/>
        <v>1461</v>
      </c>
      <c r="M17" s="2">
        <f t="shared" si="10"/>
        <v>0</v>
      </c>
      <c r="N17" s="19">
        <f t="shared" si="17"/>
        <v>1545.3</v>
      </c>
      <c r="O17" s="19">
        <f t="shared" si="18"/>
        <v>429.24999999999977</v>
      </c>
      <c r="P17" s="25">
        <f>-MIN($J$5:J17,0)</f>
        <v>429.25</v>
      </c>
      <c r="Q17" s="28">
        <f t="shared" si="11"/>
        <v>84.300000000000182</v>
      </c>
      <c r="T17">
        <f>SUM($R$5:R17)</f>
        <v>1700</v>
      </c>
      <c r="U17" s="2">
        <f t="shared" si="12"/>
        <v>-583.94999999999982</v>
      </c>
      <c r="V17">
        <f t="shared" si="13"/>
        <v>203.94</v>
      </c>
      <c r="W17">
        <f t="shared" si="16"/>
        <v>174.27</v>
      </c>
      <c r="X17" s="2">
        <f>-MIN($U$5:U17,0)</f>
        <v>787.89</v>
      </c>
      <c r="Y17" s="2">
        <f t="shared" si="14"/>
        <v>203.94000000000005</v>
      </c>
    </row>
    <row r="18" spans="1:25" x14ac:dyDescent="0.25">
      <c r="A18" s="1"/>
      <c r="B18" s="1">
        <v>42.95</v>
      </c>
      <c r="C18" s="27">
        <f t="shared" si="4"/>
        <v>127.25000000000001</v>
      </c>
      <c r="D18" s="2">
        <f t="shared" si="15"/>
        <v>84.300000000000011</v>
      </c>
      <c r="E18" s="2">
        <f t="shared" si="5"/>
        <v>127.25000000000001</v>
      </c>
      <c r="F18" s="2">
        <f t="shared" si="1"/>
        <v>127.25000000000001</v>
      </c>
      <c r="G18" s="2">
        <f t="shared" si="6"/>
        <v>42.95</v>
      </c>
      <c r="H18" s="25">
        <f>SUM($A$5:A18)</f>
        <v>1461</v>
      </c>
      <c r="I18" s="25">
        <f>SUM($B$5:B18)</f>
        <v>1159.0000000000002</v>
      </c>
      <c r="J18" s="25">
        <f t="shared" si="7"/>
        <v>-301.99999999999977</v>
      </c>
      <c r="K18" s="17">
        <f t="shared" si="8"/>
        <v>301.99999999999977</v>
      </c>
      <c r="L18" s="2">
        <f t="shared" si="9"/>
        <v>1461</v>
      </c>
      <c r="M18" s="2">
        <f t="shared" si="10"/>
        <v>0</v>
      </c>
      <c r="N18" s="19">
        <f t="shared" si="17"/>
        <v>1588.25</v>
      </c>
      <c r="O18" s="19">
        <f t="shared" si="18"/>
        <v>429.24999999999977</v>
      </c>
      <c r="P18" s="25">
        <f>-MIN($J$5:J18,0)</f>
        <v>429.25</v>
      </c>
      <c r="Q18" s="28">
        <f t="shared" si="11"/>
        <v>127.25000000000023</v>
      </c>
      <c r="T18">
        <f>SUM($R$5:R18)</f>
        <v>1700</v>
      </c>
      <c r="U18" s="2">
        <f t="shared" si="12"/>
        <v>-540.99999999999977</v>
      </c>
      <c r="V18">
        <f t="shared" si="13"/>
        <v>246.89</v>
      </c>
      <c r="W18">
        <f t="shared" si="16"/>
        <v>203.94</v>
      </c>
      <c r="X18" s="2">
        <f>-MIN($U$5:U18,0)</f>
        <v>787.89</v>
      </c>
      <c r="Y18" s="2">
        <f t="shared" si="14"/>
        <v>246.89000000000033</v>
      </c>
    </row>
    <row r="19" spans="1:25" x14ac:dyDescent="0.25">
      <c r="A19" s="1"/>
      <c r="B19" s="1">
        <v>19.25</v>
      </c>
      <c r="C19" s="27">
        <f t="shared" si="4"/>
        <v>146.5</v>
      </c>
      <c r="D19" s="2">
        <f t="shared" si="15"/>
        <v>127.25000000000001</v>
      </c>
      <c r="E19" s="2">
        <f t="shared" si="5"/>
        <v>146.5</v>
      </c>
      <c r="F19" s="2">
        <f t="shared" si="1"/>
        <v>146.5</v>
      </c>
      <c r="G19" s="2">
        <f t="shared" si="6"/>
        <v>19.249999999999986</v>
      </c>
      <c r="H19" s="25">
        <f>SUM($A$5:A19)</f>
        <v>1461</v>
      </c>
      <c r="I19" s="25">
        <f>SUM($B$5:B19)</f>
        <v>1178.2500000000002</v>
      </c>
      <c r="J19" s="25">
        <f t="shared" si="7"/>
        <v>-282.74999999999977</v>
      </c>
      <c r="K19" s="17">
        <f t="shared" si="8"/>
        <v>282.74999999999977</v>
      </c>
      <c r="L19" s="2">
        <f t="shared" si="9"/>
        <v>1461</v>
      </c>
      <c r="M19" s="2">
        <f t="shared" si="10"/>
        <v>0</v>
      </c>
      <c r="N19" s="19">
        <f t="shared" si="17"/>
        <v>1607.5</v>
      </c>
      <c r="O19" s="19">
        <f t="shared" si="18"/>
        <v>429.24999999999977</v>
      </c>
      <c r="P19" s="25">
        <f>-MIN($J$5:J19,0)</f>
        <v>429.25</v>
      </c>
      <c r="Q19" s="28">
        <f t="shared" si="11"/>
        <v>146.50000000000023</v>
      </c>
      <c r="T19">
        <f>SUM($R$5:R19)</f>
        <v>1700</v>
      </c>
      <c r="U19" s="2">
        <f t="shared" si="12"/>
        <v>-521.74999999999977</v>
      </c>
      <c r="V19">
        <f t="shared" si="13"/>
        <v>266.14</v>
      </c>
      <c r="W19">
        <f t="shared" si="16"/>
        <v>246.89</v>
      </c>
      <c r="X19" s="2">
        <f>-MIN($U$5:U19,0)</f>
        <v>787.89</v>
      </c>
      <c r="Y19" s="2">
        <f t="shared" si="14"/>
        <v>266.14000000000033</v>
      </c>
    </row>
    <row r="20" spans="1:25" x14ac:dyDescent="0.25">
      <c r="A20" s="1"/>
      <c r="B20" s="1">
        <v>9.6999999999999993</v>
      </c>
      <c r="C20" s="27">
        <f t="shared" si="4"/>
        <v>156.19999999999999</v>
      </c>
      <c r="D20" s="2">
        <f t="shared" si="15"/>
        <v>146.5</v>
      </c>
      <c r="E20" s="2">
        <f t="shared" si="5"/>
        <v>156.19999999999999</v>
      </c>
      <c r="F20" s="2">
        <f t="shared" si="1"/>
        <v>156.19999999999999</v>
      </c>
      <c r="G20" s="2">
        <f t="shared" si="6"/>
        <v>9.6999999999999886</v>
      </c>
      <c r="H20" s="25">
        <f>SUM($A$5:A20)</f>
        <v>1461</v>
      </c>
      <c r="I20" s="25">
        <f>SUM($B$5:B20)</f>
        <v>1187.9500000000003</v>
      </c>
      <c r="J20" s="25">
        <f t="shared" si="7"/>
        <v>-273.04999999999973</v>
      </c>
      <c r="K20" s="17">
        <f t="shared" si="8"/>
        <v>273.04999999999973</v>
      </c>
      <c r="L20" s="2">
        <f t="shared" si="9"/>
        <v>1461</v>
      </c>
      <c r="M20" s="2">
        <f t="shared" si="10"/>
        <v>0</v>
      </c>
      <c r="N20" s="19">
        <f t="shared" si="17"/>
        <v>1617.2</v>
      </c>
      <c r="O20" s="19">
        <f t="shared" si="18"/>
        <v>429.24999999999977</v>
      </c>
      <c r="P20" s="25">
        <f>-MIN($J$5:J20,0)</f>
        <v>429.25</v>
      </c>
      <c r="Q20" s="28">
        <f t="shared" si="11"/>
        <v>156.20000000000027</v>
      </c>
      <c r="T20">
        <f>SUM($R$5:R20)</f>
        <v>1700</v>
      </c>
      <c r="U20" s="2">
        <f t="shared" si="12"/>
        <v>-512.04999999999973</v>
      </c>
      <c r="V20">
        <f t="shared" si="13"/>
        <v>275.83999999999997</v>
      </c>
      <c r="W20">
        <f t="shared" si="16"/>
        <v>266.14</v>
      </c>
      <c r="X20" s="2">
        <f>-MIN($U$5:U20,0)</f>
        <v>787.89</v>
      </c>
      <c r="Y20" s="2">
        <f t="shared" si="14"/>
        <v>275.84000000000015</v>
      </c>
    </row>
    <row r="21" spans="1:25" x14ac:dyDescent="0.25">
      <c r="A21" s="1"/>
      <c r="B21" s="15"/>
      <c r="C21" s="16"/>
      <c r="D21" s="2"/>
      <c r="E21" s="2"/>
      <c r="F21" s="2"/>
      <c r="G21" s="2"/>
      <c r="H21" s="25"/>
      <c r="I21" s="25"/>
      <c r="J21" s="25"/>
      <c r="K21" s="22"/>
      <c r="L21" s="2"/>
      <c r="M21" s="2"/>
      <c r="N21" s="19"/>
      <c r="O21" s="19"/>
      <c r="P21" s="25"/>
      <c r="Q21" s="23"/>
    </row>
    <row r="22" spans="1:25" x14ac:dyDescent="0.25">
      <c r="A22" s="1"/>
      <c r="B22" s="1"/>
      <c r="C22" s="4"/>
      <c r="D22" s="2"/>
      <c r="E22" s="2"/>
      <c r="F22" s="2"/>
      <c r="G22" s="2"/>
      <c r="H22" s="25"/>
      <c r="I22" s="25"/>
      <c r="J22" s="25"/>
      <c r="K22" s="17"/>
      <c r="L22" s="2"/>
      <c r="M22" s="2"/>
      <c r="N22" s="19"/>
      <c r="O22" s="19"/>
      <c r="P22" s="25"/>
      <c r="Q22" s="8"/>
    </row>
    <row r="23" spans="1:25" x14ac:dyDescent="0.25">
      <c r="A23" s="1"/>
      <c r="B23" s="1"/>
      <c r="C23" s="4"/>
      <c r="D23" s="2"/>
      <c r="E23" s="2"/>
      <c r="F23" s="2"/>
      <c r="G23" s="2"/>
      <c r="H23" s="25"/>
      <c r="I23" s="25"/>
      <c r="J23" s="25"/>
      <c r="K23" s="17"/>
      <c r="L23" s="2"/>
      <c r="M23" s="2"/>
      <c r="N23" s="19"/>
      <c r="O23" s="19"/>
      <c r="P23" s="25"/>
      <c r="Q23" s="8"/>
    </row>
    <row r="24" spans="1:25" x14ac:dyDescent="0.25">
      <c r="A24" s="1"/>
      <c r="B24" s="1"/>
      <c r="C24" s="4"/>
      <c r="D24" s="2"/>
      <c r="E24" s="2"/>
      <c r="F24" s="2"/>
      <c r="G24" s="2"/>
      <c r="H24" s="25"/>
      <c r="I24" s="25"/>
      <c r="J24" s="25"/>
      <c r="K24" s="17"/>
      <c r="L24" s="2"/>
      <c r="M24" s="2"/>
      <c r="N24" s="19"/>
      <c r="O24" s="19"/>
      <c r="P24" s="25"/>
      <c r="Q24" s="8"/>
    </row>
    <row r="25" spans="1:25" x14ac:dyDescent="0.25">
      <c r="A25" s="1"/>
      <c r="B25" s="1"/>
      <c r="C25" s="4"/>
      <c r="D25" s="2"/>
      <c r="E25" s="2"/>
      <c r="F25" s="2"/>
      <c r="G25" s="2"/>
      <c r="H25" s="25"/>
      <c r="I25" s="25"/>
      <c r="J25" s="25"/>
      <c r="K25" s="17"/>
      <c r="L25" s="2"/>
      <c r="M25" s="2"/>
      <c r="N25" s="19"/>
      <c r="O25" s="19"/>
      <c r="P25" s="25"/>
      <c r="Q25" s="8"/>
    </row>
    <row r="26" spans="1:25" x14ac:dyDescent="0.25">
      <c r="A26" s="1"/>
      <c r="B26" s="1"/>
      <c r="C26" s="4"/>
      <c r="D26" s="2"/>
      <c r="E26" s="2"/>
      <c r="F26" s="2"/>
      <c r="G26" s="2"/>
      <c r="H26" s="25"/>
      <c r="I26" s="25"/>
      <c r="J26" s="25"/>
      <c r="K26" s="17"/>
      <c r="L26" s="2"/>
      <c r="M26" s="2"/>
      <c r="N26" s="19"/>
      <c r="O26" s="19"/>
      <c r="P26" s="25"/>
      <c r="Q26" s="8"/>
    </row>
    <row r="27" spans="1:25" x14ac:dyDescent="0.25">
      <c r="A27" s="1"/>
      <c r="B27" s="1"/>
      <c r="C27" s="4"/>
      <c r="D27" s="2"/>
      <c r="E27" s="2"/>
      <c r="F27" s="2"/>
      <c r="G27" s="2"/>
      <c r="H27" s="25"/>
      <c r="I27" s="25"/>
      <c r="J27" s="25"/>
      <c r="K27" s="17"/>
      <c r="L27" s="2"/>
      <c r="M27" s="2"/>
      <c r="N27" s="19"/>
      <c r="O27" s="19"/>
      <c r="P27" s="25"/>
      <c r="Q27" s="8"/>
    </row>
    <row r="28" spans="1:25" x14ac:dyDescent="0.25">
      <c r="A28" s="1"/>
      <c r="B28" s="1"/>
      <c r="C28" s="4"/>
      <c r="D28" s="2"/>
      <c r="E28" s="2"/>
      <c r="F28" s="2"/>
      <c r="G28" s="2"/>
      <c r="H28" s="25"/>
      <c r="I28" s="25"/>
      <c r="J28" s="25"/>
      <c r="K28" s="17"/>
      <c r="L28" s="2"/>
      <c r="M28" s="2"/>
      <c r="N28" s="19"/>
      <c r="O28" s="19"/>
      <c r="P28" s="25"/>
      <c r="Q28" s="8"/>
    </row>
    <row r="29" spans="1:25" x14ac:dyDescent="0.25">
      <c r="A29" s="1"/>
      <c r="B29" s="1"/>
      <c r="C29" s="4"/>
      <c r="D29" s="2"/>
      <c r="E29" s="2"/>
      <c r="F29" s="2"/>
      <c r="G29" s="2"/>
      <c r="H29" s="25"/>
      <c r="I29" s="25"/>
      <c r="J29" s="25"/>
      <c r="K29" s="17"/>
      <c r="L29" s="2"/>
      <c r="M29" s="2"/>
      <c r="N29" s="19"/>
      <c r="O29" s="19"/>
      <c r="P29" s="25"/>
      <c r="Q29" s="8"/>
    </row>
    <row r="30" spans="1:25" x14ac:dyDescent="0.25">
      <c r="A30" s="1"/>
      <c r="B30" s="1"/>
      <c r="C30" s="4"/>
      <c r="D30" s="2"/>
      <c r="E30" s="2"/>
      <c r="F30" s="2"/>
      <c r="G30" s="2"/>
      <c r="H30" s="25"/>
      <c r="I30" s="25"/>
      <c r="J30" s="25"/>
      <c r="K30" s="17"/>
      <c r="L30" s="2"/>
      <c r="M30" s="2"/>
      <c r="N30" s="19"/>
      <c r="O30" s="19"/>
      <c r="P30" s="25"/>
      <c r="Q30" s="8"/>
    </row>
    <row r="31" spans="1:25" x14ac:dyDescent="0.25">
      <c r="A31" s="1"/>
      <c r="B31" s="1"/>
      <c r="C31" s="16"/>
      <c r="D31" s="2"/>
      <c r="E31" s="2"/>
      <c r="F31" s="2"/>
      <c r="G31" s="2"/>
      <c r="H31" s="25"/>
      <c r="I31" s="25"/>
      <c r="J31" s="25"/>
      <c r="K31" s="22"/>
      <c r="L31" s="2"/>
      <c r="M31" s="2"/>
      <c r="N31" s="19"/>
      <c r="O31" s="19"/>
      <c r="P31" s="25"/>
      <c r="Q31" s="23"/>
    </row>
    <row r="32" spans="1:25" x14ac:dyDescent="0.25">
      <c r="A32" s="1"/>
      <c r="B32" s="1"/>
      <c r="C32" s="16"/>
      <c r="D32" s="2"/>
      <c r="E32" s="2"/>
      <c r="F32" s="2"/>
      <c r="G32" s="2"/>
      <c r="H32" s="25"/>
      <c r="I32" s="25"/>
      <c r="J32" s="25"/>
      <c r="K32" s="22"/>
      <c r="L32" s="2"/>
      <c r="M32" s="2"/>
      <c r="N32" s="19"/>
      <c r="O32" s="19"/>
      <c r="P32" s="25"/>
      <c r="Q32" s="23"/>
    </row>
    <row r="33" spans="1:17" x14ac:dyDescent="0.25">
      <c r="A33" s="1"/>
      <c r="B33" s="1"/>
      <c r="C33" s="16"/>
      <c r="D33" s="2"/>
      <c r="E33" s="2"/>
      <c r="F33" s="2"/>
      <c r="G33" s="2"/>
      <c r="H33" s="25"/>
      <c r="I33" s="25"/>
      <c r="J33" s="25"/>
      <c r="K33" s="22"/>
      <c r="L33" s="2"/>
      <c r="M33" s="2"/>
      <c r="N33" s="19"/>
      <c r="O33" s="19"/>
      <c r="P33" s="25"/>
      <c r="Q33" s="23"/>
    </row>
    <row r="34" spans="1:17" x14ac:dyDescent="0.25">
      <c r="A34" s="1"/>
      <c r="B34" s="1"/>
      <c r="C34" s="16"/>
      <c r="D34" s="2"/>
      <c r="E34" s="2"/>
      <c r="F34" s="2"/>
      <c r="G34" s="2"/>
      <c r="H34" s="25"/>
      <c r="I34" s="25"/>
      <c r="J34" s="25"/>
      <c r="K34" s="22"/>
      <c r="L34" s="2"/>
      <c r="M34" s="2"/>
      <c r="N34" s="19"/>
      <c r="O34" s="19"/>
      <c r="P34" s="25"/>
      <c r="Q34" s="23"/>
    </row>
  </sheetData>
  <conditionalFormatting sqref="F1:F1048576">
    <cfRule type="cellIs" dxfId="1" priority="2" operator="lessThan">
      <formula>0</formula>
    </cfRule>
  </conditionalFormatting>
  <conditionalFormatting sqref="J1:J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Sheet2 (2)</vt:lpstr>
      <vt:lpstr>Sheet1</vt:lpstr>
      <vt:lpstr>Sheet1 (3)</vt:lpstr>
      <vt:lpstr>Sheet1 (2)</vt:lpstr>
      <vt:lpstr>Sheet2 (3)</vt:lpstr>
      <vt:lpstr>Sheet2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Choi</dc:creator>
  <cp:lastModifiedBy>Rafael  De Santis</cp:lastModifiedBy>
  <dcterms:created xsi:type="dcterms:W3CDTF">2023-07-17T18:04:58Z</dcterms:created>
  <dcterms:modified xsi:type="dcterms:W3CDTF">2023-10-23T17:19:28Z</dcterms:modified>
</cp:coreProperties>
</file>